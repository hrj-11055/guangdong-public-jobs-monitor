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0e7cf058848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7f1755d13ad4041"/>
    <x:sheet xmlns:r="http://schemas.openxmlformats.org/officeDocument/2006/relationships" name="仪表盘" sheetId="2" r:id="R9007ae60a797409c"/>
    <x:sheet xmlns:r="http://schemas.openxmlformats.org/officeDocument/2006/relationships" name="招考机会" sheetId="3" r:id="R3291f68b36364b9f"/>
    <x:sheet xmlns:r="http://schemas.openxmlformats.org/officeDocument/2006/relationships" name="关键时间点" sheetId="4" r:id="R5f4885b778cf4fd1"/>
    <x:sheet xmlns:r="http://schemas.openxmlformats.org/officeDocument/2006/relationships" name="信息源地图" sheetId="5" r:id="Rb928034b00584b56"/>
    <x:sheet xmlns:r="http://schemas.openxmlformats.org/officeDocument/2006/relationships" name="材料清单" sheetId="6" r:id="Rb993adeec47d4f73"/>
    <x:sheet xmlns:r="http://schemas.openxmlformats.org/officeDocument/2006/relationships" name="个人条件" sheetId="7" r:id="R7b840e17e69642cb"/>
    <x:sheet xmlns:r="http://schemas.openxmlformats.org/officeDocument/2006/relationships" name="字段说明" sheetId="8" r:id="R783a4837ec2f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0"/>
    <x:numFmt numFmtId="203" formatCode="#,##0"/>
  </x:numFmts>
  <x:fonts count="13">
    <x:font>
      <x:sz val="11"/>
      <x:name val="Carlito"/>
    </x:font>
    <x:font>
      <x:b/>
      <x:sz val="18"/>
      <x:color rgb="FFFFFFFF"/>
      <x:name val="Carlito"/>
    </x:font>
    <x:font>
      <x:sz val="10"/>
      <x:color rgb="FF17324D"/>
      <x:name val="Carlito"/>
    </x:font>
    <x:font>
      <x:b/>
      <x:sz val="13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2"/>
      <x:color rgb="FFFFFFFF"/>
      <x:name val="Carlito"/>
    </x:font>
    <x:font>
      <x:sz val="10"/>
      <x:color rgb="FF243444"/>
      <x:name val="Carlito"/>
    </x:font>
    <x:font>
      <x:i/>
      <x:sz val="11"/>
      <x:color rgb="FF6B4B00"/>
      <x:name val="Carlito"/>
    </x:font>
    <x:font>
      <x:b/>
      <x:sz val="10"/>
      <x:color rgb="FFFFFFFF"/>
      <x:name val="Carlito"/>
    </x:font>
    <x:font>
      <x:sz val="10"/>
      <x:color rgb="FF6B4B00"/>
      <x:name val="Carlito"/>
    </x:font>
    <x:font>
      <x:b/>
      <x:sz val="24"/>
      <x:color rgb="FF17324D"/>
      <x:name val="Carlito"/>
    </x:font>
    <x:font>
      <x:i/>
      <x:sz val="11"/>
      <x:color rgb="FF66708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CF7"/>
      </x:patternFill>
    </x:fill>
    <x:fill>
      <x:patternFill patternType="solid">
        <x:fgColor rgb="FFF2B84B"/>
      </x:patternFill>
    </x:fill>
    <x:fill>
      <x:patternFill patternType="solid">
        <x:fgColor rgb="FFF4F8FB"/>
      </x:patternFill>
    </x:fill>
    <x:fill>
      <x:patternFill patternType="solid">
        <x:fgColor rgb="FF2F6B9A"/>
      </x:patternFill>
    </x:fill>
    <x:fill>
      <x:patternFill patternType="solid">
        <x:fgColor rgb="FFFFF3D6"/>
      </x:patternFill>
    </x:fill>
    <x:fill>
      <x:patternFill patternType="solid">
        <x:fgColor rgb="FFE5F4EC"/>
      </x:patternFill>
    </x:fill>
    <x:fill>
      <x:patternFill patternType="solid">
        <x:fgColor rgb="FFFBE8E7"/>
      </x:patternFill>
    </x:fill>
  </x:fills>
  <x:borders count="16">
    <x:border/>
    <x:border>
      <x:left style="thin">
        <x:color rgb="FFD6E0E8"/>
      </x:left>
      <x:top style="thin">
        <x:color rgb="FFD6E0E8"/>
      </x:top>
    </x:border>
    <x:border>
      <x:top style="thin">
        <x:color rgb="FFD6E0E8"/>
      </x:top>
    </x:border>
    <x:border>
      <x:right style="thin">
        <x:color rgb="FFD6E0E8"/>
      </x:right>
      <x:top style="thin">
        <x:color rgb="FFD6E0E8"/>
      </x:top>
    </x:border>
    <x:border>
      <x:left style="thin">
        <x:color rgb="FFD6E0E8"/>
      </x:left>
    </x:border>
    <x:border>
      <x:right style="thin">
        <x:color rgb="FFD6E0E8"/>
      </x:right>
    </x:border>
    <x:border>
      <x:left style="thin">
        <x:color rgb="FFD6E0E8"/>
      </x:left>
      <x:bottom style="thin">
        <x:color rgb="FFD6E0E8"/>
      </x:bottom>
    </x:border>
    <x:border>
      <x:bottom style="thin">
        <x:color rgb="FFD6E0E8"/>
      </x:bottom>
    </x:border>
    <x:border>
      <x:right style="thin">
        <x:color rgb="FFD6E0E8"/>
      </x:right>
      <x:bottom style="thin">
        <x:color rgb="FFD6E0E8"/>
      </x:bottom>
    </x:border>
    <x:border>
      <x:top style="thin">
        <x:color rgb="FFD6E0E8"/>
      </x:top>
      <x:bottom style="thin">
        <x:color rgb="FFD6E0E8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F2B84B"/>
      </x:left>
      <x:right style="thin">
        <x:color rgb="FFF2B84B"/>
      </x:right>
      <x:top style="thin">
        <x:color rgb="FFF2B84B"/>
      </x:top>
      <x:bottom style="thin">
        <x:color rgb="FFD6E0E8"/>
      </x:bottom>
    </x:border>
    <x:border>
      <x:left style="thin">
        <x:color rgb="FFF2B84B"/>
      </x:left>
      <x:right style="thin">
        <x:color rgb="FFF2B84B"/>
      </x:right>
      <x:top style="thin">
        <x:color rgb="FFD6E0E8"/>
      </x:top>
      <x:bottom style="thin">
        <x:color rgb="FFD6E0E8"/>
      </x:bottom>
    </x:border>
    <x:border>
      <x:left style="thin">
        <x:color rgb="FFF2B84B"/>
      </x:left>
      <x:right style="thin">
        <x:color rgb="FFF2B84B"/>
      </x:right>
      <x:top style="thin">
        <x:color rgb="FFD6E0E8"/>
      </x:top>
      <x:bottom style="thin">
        <x:color rgb="FFF2B84B"/>
      </x:bottom>
    </x:border>
  </x:borders>
  <x:cellStyleXfs count="1">
    <x:xf numFmtId="0" fontId="0" fillId="0" borderId="0"/>
  </x:cellStyleXfs>
  <x:cellXfs count="2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0" fillId="2" borderId="4" xfId="0" applyNumberFormat="1" applyFont="1" applyFill="1" applyBorder="1" applyAlignment="1">
      <x:alignment vertical="center" wrapText="1"/>
    </x:xf>
    <x:xf numFmtId="0" fontId="0" fillId="2" borderId="6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6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7" xfId="0" applyNumberFormat="1" applyFont="1" applyFill="1" applyBorder="1"/>
    <x:xf numFmtId="0" fontId="7" fillId="0" borderId="9" xfId="0" applyNumberFormat="1" applyFont="1" applyFill="1" applyBorder="1"/>
    <x:xf numFmtId="0" fontId="7" fillId="0" borderId="7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10" xfId="0" applyNumberFormat="1" applyFont="1" applyFill="1" applyBorder="1" applyAlignment="1">
      <x:alignment wrapText="1"/>
    </x:xf>
    <x:xf numFmtId="0" fontId="9" fillId="6" borderId="11" xfId="0" applyNumberFormat="1" applyFont="1" applyFill="1" applyBorder="1" applyAlignment="1">
      <x:alignment wrapText="1"/>
    </x:xf>
    <x:xf numFmtId="0" fontId="9" fillId="6" borderId="12" xfId="0" applyNumberFormat="1" applyFont="1" applyFill="1" applyBorder="1" applyAlignment="1">
      <x:alignment wrapText="1"/>
    </x:xf>
    <x:xf numFmtId="0" fontId="9" fillId="6" borderId="10" xfId="0" applyNumberFormat="1" applyFont="1" applyFill="1" applyBorder="1" applyAlignment="1">
      <x:alignment horizontal="center" wrapText="1"/>
    </x:xf>
    <x:xf numFmtId="0" fontId="9" fillId="6" borderId="11" xfId="0" applyNumberFormat="1" applyFont="1" applyFill="1" applyBorder="1" applyAlignment="1">
      <x:alignment horizontal="center" wrapText="1"/>
    </x:xf>
    <x:xf numFmtId="0" fontId="9" fillId="6" borderId="12" xfId="0" applyNumberFormat="1" applyFont="1" applyFill="1" applyBorder="1" applyAlignment="1">
      <x:alignment horizontal="center" wrapText="1"/>
    </x:xf>
    <x:xf numFmtId="0" fontId="9" fillId="6" borderId="10" xfId="0" applyNumberFormat="1" applyFont="1" applyFill="1" applyBorder="1" applyAlignment="1">
      <x:alignment horizontal="center" vertical="center" wrapText="1"/>
    </x:xf>
    <x:xf numFmtId="0" fontId="9" fillId="6" borderId="11" xfId="0" applyNumberFormat="1" applyFont="1" applyFill="1" applyBorder="1" applyAlignment="1">
      <x:alignment horizontal="center" vertical="center" wrapText="1"/>
    </x:xf>
    <x:xf numFmtId="0" fontId="9" fillId="6" borderId="12" xfId="0" applyNumberFormat="1" applyFont="1" applyFill="1" applyBorder="1" applyAlignment="1">
      <x:alignment horizontal="center" vertical="center" wrapText="1"/>
    </x:xf>
    <x:xf numFmtId="200" fontId="7" fillId="0" borderId="7" xfId="0" applyNumberFormat="1" applyFont="1" applyFill="1" applyBorder="1" applyAlignment="1">
      <x:alignment vertical="top" wrapText="1"/>
    </x:xf>
    <x:xf numFmtId="200" fontId="7" fillId="0" borderId="9" xfId="0" applyNumberFormat="1" applyFont="1" applyFill="1" applyBorder="1" applyAlignment="1">
      <x:alignment vertical="top" wrapText="1"/>
    </x:xf>
    <x:xf numFmtId="201" fontId="7" fillId="0" borderId="7" xfId="0" applyNumberFormat="1" applyFont="1" applyFill="1" applyBorder="1" applyAlignment="1">
      <x:alignment vertical="top" wrapText="1"/>
    </x:xf>
    <x:xf numFmtId="201" fontId="7" fillId="0" borderId="9" xfId="0" applyNumberFormat="1" applyFont="1" applyFill="1" applyBorder="1" applyAlignment="1">
      <x:alignment vertical="top" wrapText="1"/>
    </x:xf>
    <x:xf numFmtId="202" fontId="7" fillId="0" borderId="7" xfId="0" applyNumberFormat="1" applyFont="1" applyFill="1" applyBorder="1" applyAlignment="1">
      <x:alignment vertical="top" wrapText="1"/>
    </x:xf>
    <x:xf numFmtId="202" fontId="7" fillId="0" borderId="9" xfId="0" applyNumberFormat="1" applyFont="1" applyFill="1" applyBorder="1" applyAlignment="1">
      <x:alignment vertical="top" wrapText="1"/>
    </x:xf>
    <x:xf numFmtId="203" fontId="7" fillId="0" borderId="7" xfId="0" applyNumberFormat="1" applyFont="1" applyFill="1" applyBorder="1" applyAlignment="1">
      <x:alignment vertical="top" wrapText="1"/>
    </x:xf>
    <x:xf numFmtId="203" fontId="7" fillId="0" borderId="9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7" borderId="9" xfId="0" applyNumberFormat="1" applyFont="1" applyFill="1" applyBorder="1" applyAlignment="1">
      <x:alignment vertical="top" wrapText="1"/>
    </x:xf>
    <x:xf numFmtId="0" fontId="10" fillId="7" borderId="7" xfId="0" applyNumberFormat="1" applyFont="1" applyFill="1" applyBorder="1" applyAlignment="1">
      <x:alignment vertical="top" wrapText="1"/>
    </x:xf>
    <x:xf numFmtId="0" fontId="10" fillId="7" borderId="9" xfId="0" applyNumberFormat="1" applyFont="1" applyFill="1" applyBorder="1" applyAlignment="1">
      <x:alignment vertical="top" wrapText="1"/>
    </x:xf>
    <x:xf numFmtId="0" fontId="10" fillId="7" borderId="13" xfId="0" applyNumberFormat="1" applyFont="1" applyFill="1" applyBorder="1" applyAlignment="1">
      <x:alignment vertical="top" wrapText="1"/>
    </x:xf>
    <x:xf numFmtId="0" fontId="10" fillId="7" borderId="14" xfId="0" applyNumberFormat="1" applyFont="1" applyFill="1" applyBorder="1" applyAlignment="1">
      <x:alignment vertical="top" wrapText="1"/>
    </x:xf>
    <x:xf numFmtId="0" fontId="10" fillId="7" borderId="1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1" fillId="3" borderId="2" xfId="0" applyNumberFormat="1" applyFont="1" applyFill="1" applyBorder="1"/>
    <x:xf numFmtId="0" fontId="11" fillId="3" borderId="3" xfId="0" applyNumberFormat="1" applyFont="1" applyFill="1" applyBorder="1"/>
    <x:xf numFmtId="0" fontId="11" fillId="3" borderId="4" xfId="0" applyNumberFormat="1" applyFont="1" applyFill="1" applyBorder="1"/>
    <x:xf numFmtId="0" fontId="11" fillId="3" borderId="5" xfId="0" applyNumberFormat="1" applyFont="1" applyFill="1" applyBorder="1"/>
    <x:xf numFmtId="0" fontId="11" fillId="3" borderId="6" xfId="0" applyNumberFormat="1" applyFont="1" applyFill="1" applyBorder="1"/>
    <x:xf numFmtId="0" fontId="11" fillId="3" borderId="7" xfId="0" applyNumberFormat="1" applyFont="1" applyFill="1" applyBorder="1"/>
    <x:xf numFmtId="0" fontId="11" fillId="3" borderId="8" xfId="0" applyNumberFormat="1" applyFont="1" applyFill="1" applyBorder="1"/>
    <x:xf numFmtId="0" fontId="11" fillId="3" borderId="1" xfId="0" applyNumberFormat="1" applyFont="1" applyFill="1" applyBorder="1" applyAlignment="1">
      <x:alignment horizontal="center"/>
    </x:xf>
    <x:xf numFmtId="0" fontId="11" fillId="3" borderId="2" xfId="0" applyNumberFormat="1" applyFont="1" applyFill="1" applyBorder="1" applyAlignment="1">
      <x:alignment horizontal="center"/>
    </x:xf>
    <x:xf numFmtId="0" fontId="11" fillId="3" borderId="3" xfId="0" applyNumberFormat="1" applyFont="1" applyFill="1" applyBorder="1" applyAlignment="1">
      <x:alignment horizontal="center"/>
    </x:xf>
    <x:xf numFmtId="0" fontId="11" fillId="3" borderId="4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 applyAlignment="1">
      <x:alignment horizontal="center"/>
    </x:xf>
    <x:xf numFmtId="0" fontId="11" fillId="3" borderId="5" xfId="0" applyNumberFormat="1" applyFont="1" applyFill="1" applyBorder="1" applyAlignment="1">
      <x:alignment horizontal="center"/>
    </x:xf>
    <x:xf numFmtId="0" fontId="11" fillId="3" borderId="6" xfId="0" applyNumberFormat="1" applyFont="1" applyFill="1" applyBorder="1" applyAlignment="1">
      <x:alignment horizontal="center"/>
    </x:xf>
    <x:xf numFmtId="0" fontId="11" fillId="3" borderId="7" xfId="0" applyNumberFormat="1" applyFont="1" applyFill="1" applyBorder="1" applyAlignment="1">
      <x:alignment horizontal="center"/>
    </x:xf>
    <x:xf numFmtId="0" fontId="11" fillId="3" borderId="8" xfId="0" applyNumberFormat="1" applyFont="1" applyFill="1" applyBorder="1" applyAlignment="1">
      <x:alignment horizontal="center"/>
    </x:xf>
    <x:xf numFmtId="0" fontId="11" fillId="3" borderId="1" xfId="0" applyNumberFormat="1" applyFont="1" applyFill="1" applyBorder="1" applyAlignment="1">
      <x:alignment horizontal="center" vertical="center"/>
    </x:xf>
    <x:xf numFmtId="0" fontId="11" fillId="3" borderId="2" xfId="0" applyNumberFormat="1" applyFont="1" applyFill="1" applyBorder="1" applyAlignment="1">
      <x:alignment horizontal="center" vertical="center"/>
    </x:xf>
    <x:xf numFmtId="0" fontId="11" fillId="3" borderId="3" xfId="0" applyNumberFormat="1" applyFont="1" applyFill="1" applyBorder="1" applyAlignment="1">
      <x:alignment horizontal="center" vertical="center"/>
    </x:xf>
    <x:xf numFmtId="0" fontId="11" fillId="3" borderId="4" xfId="0" applyNumberFormat="1" applyFont="1" applyFill="1" applyBorder="1" applyAlignment="1">
      <x:alignment horizontal="center" vertical="center"/>
    </x:xf>
    <x:xf numFmtId="0" fontId="11" fillId="3" borderId="0" xfId="0" applyNumberFormat="1" applyFont="1" applyFill="1" applyBorder="1" applyAlignment="1">
      <x:alignment horizontal="center" vertical="center"/>
    </x:xf>
    <x:xf numFmtId="0" fontId="11" fillId="3" borderId="5" xfId="0" applyNumberFormat="1" applyFont="1" applyFill="1" applyBorder="1" applyAlignment="1">
      <x:alignment horizontal="center" vertical="center"/>
    </x:xf>
    <x:xf numFmtId="0" fontId="11" fillId="3" borderId="6" xfId="0" applyNumberFormat="1" applyFont="1" applyFill="1" applyBorder="1" applyAlignment="1">
      <x:alignment horizontal="center" vertical="center"/>
    </x:xf>
    <x:xf numFmtId="0" fontId="11" fillId="3" borderId="7" xfId="0" applyNumberFormat="1" applyFont="1" applyFill="1" applyBorder="1" applyAlignment="1">
      <x:alignment horizontal="center" vertical="center"/>
    </x:xf>
    <x:xf numFmtId="0" fontId="11" fillId="3" borderId="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1" xfId="0" applyNumberFormat="1" applyFont="1" applyFill="1" applyBorder="1"/>
    <x:xf numFmtId="0" fontId="11" fillId="8" borderId="2" xfId="0" applyNumberFormat="1" applyFont="1" applyFill="1" applyBorder="1"/>
    <x:xf numFmtId="0" fontId="11" fillId="8" borderId="3" xfId="0" applyNumberFormat="1" applyFont="1" applyFill="1" applyBorder="1"/>
    <x:xf numFmtId="0" fontId="11" fillId="8" borderId="4" xfId="0" applyNumberFormat="1" applyFont="1" applyFill="1" applyBorder="1"/>
    <x:xf numFmtId="0" fontId="1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0" fontId="11" fillId="8" borderId="1" xfId="0" applyNumberFormat="1" applyFont="1" applyFill="1" applyBorder="1" applyAlignment="1">
      <x:alignment horizontal="center"/>
    </x:xf>
    <x:xf numFmtId="0" fontId="11" fillId="8" borderId="2" xfId="0" applyNumberFormat="1" applyFont="1" applyFill="1" applyBorder="1" applyAlignment="1">
      <x:alignment horizontal="center"/>
    </x:xf>
    <x:xf numFmtId="0" fontId="11" fillId="8" borderId="3" xfId="0" applyNumberFormat="1" applyFont="1" applyFill="1" applyBorder="1" applyAlignment="1">
      <x:alignment horizontal="center"/>
    </x:xf>
    <x:xf numFmtId="0" fontId="11" fillId="8" borderId="4" xfId="0" applyNumberFormat="1" applyFont="1" applyFill="1" applyBorder="1" applyAlignment="1">
      <x:alignment horizontal="center"/>
    </x:xf>
    <x:xf numFmtId="0" fontId="11" fillId="8" borderId="0" xfId="0" applyNumberFormat="1" applyFont="1" applyFill="1" applyBorder="1" applyAlignment="1">
      <x:alignment horizontal="center"/>
    </x:xf>
    <x:xf numFmtId="0" fontId="1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11" fillId="8" borderId="1" xfId="0" applyNumberFormat="1" applyFont="1" applyFill="1" applyBorder="1" applyAlignment="1">
      <x:alignment horizontal="center" vertical="center"/>
    </x:xf>
    <x:xf numFmtId="0" fontId="11" fillId="8" borderId="2" xfId="0" applyNumberFormat="1" applyFont="1" applyFill="1" applyBorder="1" applyAlignment="1">
      <x:alignment horizontal="center" vertical="center"/>
    </x:xf>
    <x:xf numFmtId="0" fontId="11" fillId="8" borderId="3" xfId="0" applyNumberFormat="1" applyFont="1" applyFill="1" applyBorder="1" applyAlignment="1">
      <x:alignment horizontal="center" vertical="center"/>
    </x:xf>
    <x:xf numFmtId="0" fontId="11" fillId="8" borderId="4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horizontal="center" vertical="center"/>
    </x:xf>
    <x:xf numFmtId="0" fontId="1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/>
    <x:xf numFmtId="0" fontId="11" fillId="7" borderId="1" xfId="0" applyNumberFormat="1" applyFont="1" applyFill="1" applyBorder="1"/>
    <x:xf numFmtId="0" fontId="11" fillId="7" borderId="2" xfId="0" applyNumberFormat="1" applyFont="1" applyFill="1" applyBorder="1"/>
    <x:xf numFmtId="0" fontId="11" fillId="7" borderId="3" xfId="0" applyNumberFormat="1" applyFont="1" applyFill="1" applyBorder="1"/>
    <x:xf numFmtId="0" fontId="11" fillId="7" borderId="4" xfId="0" applyNumberFormat="1" applyFont="1" applyFill="1" applyBorder="1"/>
    <x:xf numFmtId="0" fontId="1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0" fontId="11" fillId="7" borderId="1" xfId="0" applyNumberFormat="1" applyFont="1" applyFill="1" applyBorder="1" applyAlignment="1">
      <x:alignment horizontal="center"/>
    </x:xf>
    <x:xf numFmtId="0" fontId="11" fillId="7" borderId="2" xfId="0" applyNumberFormat="1" applyFont="1" applyFill="1" applyBorder="1" applyAlignment="1">
      <x:alignment horizontal="center"/>
    </x:xf>
    <x:xf numFmtId="0" fontId="11" fillId="7" borderId="3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11" fillId="7" borderId="1" xfId="0" applyNumberFormat="1" applyFont="1" applyFill="1" applyBorder="1" applyAlignment="1">
      <x:alignment horizontal="center" vertical="center"/>
    </x:xf>
    <x:xf numFmtId="0" fontId="11" fillId="7" borderId="2" xfId="0" applyNumberFormat="1" applyFont="1" applyFill="1" applyBorder="1" applyAlignment="1">
      <x:alignment horizontal="center" vertical="center"/>
    </x:xf>
    <x:xf numFmtId="0" fontId="11" fillId="7" borderId="3" xfId="0" applyNumberFormat="1" applyFont="1" applyFill="1" applyBorder="1" applyAlignment="1">
      <x:alignment horizontal="center" vertical="center"/>
    </x:xf>
    <x:xf numFmtId="0" fontId="11" fillId="7" borderId="4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1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1" xfId="0" applyNumberFormat="1" applyFont="1" applyFill="1" applyBorder="1"/>
    <x:xf numFmtId="0" fontId="11" fillId="9" borderId="2" xfId="0" applyNumberFormat="1" applyFont="1" applyFill="1" applyBorder="1"/>
    <x:xf numFmtId="0" fontId="11" fillId="9" borderId="3" xfId="0" applyNumberFormat="1" applyFont="1" applyFill="1" applyBorder="1"/>
    <x:xf numFmtId="0" fontId="11" fillId="9" borderId="4" xfId="0" applyNumberFormat="1" applyFont="1" applyFill="1" applyBorder="1"/>
    <x:xf numFmtId="0" fontId="11" fillId="9" borderId="5" xfId="0" applyNumberFormat="1" applyFont="1" applyFill="1" applyBorder="1"/>
    <x:xf numFmtId="0" fontId="11" fillId="9" borderId="6" xfId="0" applyNumberFormat="1" applyFont="1" applyFill="1" applyBorder="1"/>
    <x:xf numFmtId="0" fontId="11" fillId="9" borderId="7" xfId="0" applyNumberFormat="1" applyFont="1" applyFill="1" applyBorder="1"/>
    <x:xf numFmtId="0" fontId="11" fillId="9" borderId="8" xfId="0" applyNumberFormat="1" applyFont="1" applyFill="1" applyBorder="1"/>
    <x:xf numFmtId="0" fontId="11" fillId="9" borderId="1" xfId="0" applyNumberFormat="1" applyFont="1" applyFill="1" applyBorder="1" applyAlignment="1">
      <x:alignment horizontal="center"/>
    </x:xf>
    <x:xf numFmtId="0" fontId="11" fillId="9" borderId="2" xfId="0" applyNumberFormat="1" applyFont="1" applyFill="1" applyBorder="1" applyAlignment="1">
      <x:alignment horizontal="center"/>
    </x:xf>
    <x:xf numFmtId="0" fontId="11" fillId="9" borderId="3" xfId="0" applyNumberFormat="1" applyFont="1" applyFill="1" applyBorder="1" applyAlignment="1">
      <x:alignment horizontal="center"/>
    </x:xf>
    <x:xf numFmtId="0" fontId="11" fillId="9" borderId="4" xfId="0" applyNumberFormat="1" applyFont="1" applyFill="1" applyBorder="1" applyAlignment="1">
      <x:alignment horizontal="center"/>
    </x:xf>
    <x:xf numFmtId="0" fontId="11" fillId="9" borderId="0" xfId="0" applyNumberFormat="1" applyFont="1" applyFill="1" applyBorder="1" applyAlignment="1">
      <x:alignment horizontal="center"/>
    </x:xf>
    <x:xf numFmtId="0" fontId="11" fillId="9" borderId="5" xfId="0" applyNumberFormat="1" applyFont="1" applyFill="1" applyBorder="1" applyAlignment="1">
      <x:alignment horizontal="center"/>
    </x:xf>
    <x:xf numFmtId="0" fontId="11" fillId="9" borderId="6" xfId="0" applyNumberFormat="1" applyFont="1" applyFill="1" applyBorder="1" applyAlignment="1">
      <x:alignment horizontal="center"/>
    </x:xf>
    <x:xf numFmtId="0" fontId="11" fillId="9" borderId="7" xfId="0" applyNumberFormat="1" applyFont="1" applyFill="1" applyBorder="1" applyAlignment="1">
      <x:alignment horizontal="center"/>
    </x:xf>
    <x:xf numFmtId="0" fontId="11" fillId="9" borderId="8" xfId="0" applyNumberFormat="1" applyFont="1" applyFill="1" applyBorder="1" applyAlignment="1">
      <x:alignment horizontal="center"/>
    </x:xf>
    <x:xf numFmtId="0" fontId="11" fillId="9" borderId="1" xfId="0" applyNumberFormat="1" applyFont="1" applyFill="1" applyBorder="1" applyAlignment="1">
      <x:alignment horizontal="center" vertical="center"/>
    </x:xf>
    <x:xf numFmtId="0" fontId="11" fillId="9" borderId="2" xfId="0" applyNumberFormat="1" applyFont="1" applyFill="1" applyBorder="1" applyAlignment="1">
      <x:alignment horizontal="center" vertical="center"/>
    </x:xf>
    <x:xf numFmtId="0" fontId="11" fillId="9" borderId="3" xfId="0" applyNumberFormat="1" applyFont="1" applyFill="1" applyBorder="1" applyAlignment="1">
      <x:alignment horizontal="center" vertical="center"/>
    </x:xf>
    <x:xf numFmtId="0" fontId="11" fillId="9" borderId="4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 applyAlignment="1">
      <x:alignment horizontal="center" vertical="center"/>
    </x:xf>
    <x:xf numFmtId="0" fontId="11" fillId="9" borderId="5" xfId="0" applyNumberFormat="1" applyFont="1" applyFill="1" applyBorder="1" applyAlignment="1">
      <x:alignment horizontal="center" vertical="center"/>
    </x:xf>
    <x:xf numFmtId="0" fontId="11" fillId="9" borderId="6" xfId="0" applyNumberFormat="1" applyFont="1" applyFill="1" applyBorder="1" applyAlignment="1">
      <x:alignment horizontal="center" vertical="center"/>
    </x:xf>
    <x:xf numFmtId="0" fontId="11" fillId="9" borderId="7" xfId="0" applyNumberFormat="1" applyFont="1" applyFill="1" applyBorder="1" applyAlignment="1">
      <x:alignment horizontal="center" vertical="center"/>
    </x:xf>
    <x:xf numFmtId="0" fontId="11" fillId="9" borderId="8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/>
    <x:xf numFmtId="0" fontId="12" fillId="5" borderId="1" xfId="0" applyNumberFormat="1" applyFont="1" applyFill="1" applyBorder="1"/>
    <x:xf numFmtId="0" fontId="12" fillId="5" borderId="2" xfId="0" applyNumberFormat="1" applyFont="1" applyFill="1" applyBorder="1"/>
    <x:xf numFmtId="0" fontId="12" fillId="5" borderId="3" xfId="0" applyNumberFormat="1" applyFont="1" applyFill="1" applyBorder="1"/>
    <x:xf numFmtId="0" fontId="12" fillId="5" borderId="4" xfId="0" applyNumberFormat="1" applyFont="1" applyFill="1" applyBorder="1"/>
    <x:xf numFmtId="0" fontId="12" fillId="5" borderId="5" xfId="0" applyNumberFormat="1" applyFont="1" applyFill="1" applyBorder="1"/>
    <x:xf numFmtId="0" fontId="12" fillId="5" borderId="6" xfId="0" applyNumberFormat="1" applyFont="1" applyFill="1" applyBorder="1"/>
    <x:xf numFmtId="0" fontId="12" fillId="5" borderId="7" xfId="0" applyNumberFormat="1" applyFont="1" applyFill="1" applyBorder="1"/>
    <x:xf numFmtId="0" fontId="12" fillId="5" borderId="8" xfId="0" applyNumberFormat="1" applyFont="1" applyFill="1" applyBorder="1"/>
    <x:xf numFmtId="0" fontId="12" fillId="5" borderId="1" xfId="0" applyNumberFormat="1" applyFont="1" applyFill="1" applyBorder="1" applyAlignment="1">
      <x:alignment wrapText="1"/>
    </x:xf>
    <x:xf numFmtId="0" fontId="12" fillId="5" borderId="2" xfId="0" applyNumberFormat="1" applyFont="1" applyFill="1" applyBorder="1" applyAlignment="1">
      <x:alignment wrapText="1"/>
    </x:xf>
    <x:xf numFmtId="0" fontId="12" fillId="5" borderId="3" xfId="0" applyNumberFormat="1" applyFont="1" applyFill="1" applyBorder="1" applyAlignment="1">
      <x:alignment wrapText="1"/>
    </x:xf>
    <x:xf numFmtId="0" fontId="12" fillId="5" borderId="4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wrapText="1"/>
    </x:xf>
    <x:xf numFmtId="0" fontId="12" fillId="5" borderId="5" xfId="0" applyNumberFormat="1" applyFont="1" applyFill="1" applyBorder="1" applyAlignment="1">
      <x:alignment wrapText="1"/>
    </x:xf>
    <x:xf numFmtId="0" fontId="12" fillId="5" borderId="6" xfId="0" applyNumberFormat="1" applyFont="1" applyFill="1" applyBorder="1" applyAlignment="1">
      <x:alignment wrapText="1"/>
    </x:xf>
    <x:xf numFmtId="0" fontId="12" fillId="5" borderId="7" xfId="0" applyNumberFormat="1" applyFont="1" applyFill="1" applyBorder="1" applyAlignment="1">
      <x:alignment wrapText="1"/>
    </x:xf>
    <x:xf numFmtId="0" fontId="12" fillId="5" borderId="8" xfId="0" applyNumberFormat="1" applyFont="1" applyFill="1" applyBorder="1" applyAlignment="1">
      <x:alignment wrapText="1"/>
    </x:xf>
    <x:xf numFmtId="0" fontId="12" fillId="5" borderId="1" xfId="0" applyNumberFormat="1" applyFont="1" applyFill="1" applyBorder="1" applyAlignment="1">
      <x:alignment vertical="center" wrapText="1"/>
    </x:xf>
    <x:xf numFmtId="0" fontId="12" fillId="5" borderId="2" xfId="0" applyNumberFormat="1" applyFont="1" applyFill="1" applyBorder="1" applyAlignment="1">
      <x:alignment vertical="center" wrapText="1"/>
    </x:xf>
    <x:xf numFmtId="0" fontId="12" fillId="5" borderId="3" xfId="0" applyNumberFormat="1" applyFont="1" applyFill="1" applyBorder="1" applyAlignment="1">
      <x:alignment vertical="center" wrapText="1"/>
    </x:xf>
    <x:xf numFmtId="0" fontId="12" fillId="5" borderId="4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2" fillId="5" borderId="5" xfId="0" applyNumberFormat="1" applyFont="1" applyFill="1" applyBorder="1" applyAlignment="1">
      <x:alignment vertical="center" wrapText="1"/>
    </x:xf>
    <x:xf numFmtId="0" fontId="12" fillId="5" borderId="6" xfId="0" applyNumberFormat="1" applyFont="1" applyFill="1" applyBorder="1" applyAlignment="1">
      <x:alignment vertical="center" wrapText="1"/>
    </x:xf>
    <x:xf numFmtId="0" fontId="12" fillId="5" borderId="7" xfId="0" applyNumberFormat="1" applyFont="1" applyFill="1" applyBorder="1" applyAlignment="1">
      <x:alignment vertical="center" wrapText="1"/>
    </x:xf>
    <x:xf numFmtId="0" fontId="12" fillId="5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B74A4A"/>
      </x:font>
      <x:fill>
        <x:patternFill patternType="solid">
          <x:bgColor rgb="FFFBE8E7"/>
        </x:patternFill>
      </x:fill>
    </x:dxf>
    <x:dxf>
      <x:font>
        <x:b/>
        <x:color rgb="FF2E7D5B"/>
      </x:font>
      <x:fill>
        <x:patternFill patternType="solid">
          <x:bgColor rgb="FFE5F4EC"/>
        </x:patternFill>
      </x:fill>
    </x:dxf>
    <x:dxf>
      <x:font>
        <x:b/>
        <x:color rgb="FF8A5D00"/>
      </x:font>
      <x:fill>
        <x:patternFill patternType="solid">
          <x:bgColor rgb="FFFFF3D6"/>
        </x:patternFill>
      </x:fill>
    </x:dxf>
    <x:dxf>
      <x:font>
        <x:b/>
        <x:color rgb="FF8A5D00"/>
      </x:font>
      <x:fill>
        <x:patternFill patternType="solid">
          <x:bgColor rgb="FFFFF3D6"/>
        </x:patternFill>
      </x:fill>
    </x:dxf>
    <x:dxf>
      <x:font>
        <x:b/>
        <x:color rgb="FF2E7D5B"/>
      </x:font>
      <x:fill>
        <x:patternFill patternType="solid">
          <x:bgColor rgb="FFE5F4EC"/>
        </x:patternFill>
      </x:fill>
    </x:dxf>
    <x:dxf>
      <x:font>
        <x:b/>
        <x:color rgb="FF2F6B9A"/>
      </x:font>
      <x:fill>
        <x:patternFill patternType="solid">
          <x:bgColor rgb="FFDCECF7"/>
        </x:patternFill>
      </x:fill>
    </x:dxf>
    <x:dxf>
      <x:font>
        <x:b/>
        <x:color rgb="FFB74A4A"/>
      </x:font>
      <x:fill>
        <x:patternFill patternType="solid">
          <x:bgColor rgb="FFFB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bbf4243ac4e34" /><Relationship Type="http://schemas.openxmlformats.org/officeDocument/2006/relationships/theme" Target="/xl/theme/theme1.xml" Id="R4fa6a2cb0429494d" /><Relationship Type="http://schemas.openxmlformats.org/officeDocument/2006/relationships/sharedStrings" Target="/xl/sharedStrings.xml" Id="R66df3fa1e2fa4cc9" /><Relationship Type="http://schemas.openxmlformats.org/officeDocument/2006/relationships/worksheet" Target="/xl/worksheets/sheet1.xml" Id="R17f1755d13ad4041" /><Relationship Type="http://schemas.openxmlformats.org/officeDocument/2006/relationships/worksheet" Target="/xl/worksheets/sheet2.xml" Id="R9007ae60a797409c" /><Relationship Type="http://schemas.openxmlformats.org/officeDocument/2006/relationships/worksheet" Target="/xl/worksheets/sheet3.xml" Id="R3291f68b36364b9f" /><Relationship Type="http://schemas.openxmlformats.org/officeDocument/2006/relationships/worksheet" Target="/xl/worksheets/sheet4.xml" Id="R5f4885b778cf4fd1" /><Relationship Type="http://schemas.openxmlformats.org/officeDocument/2006/relationships/worksheet" Target="/xl/worksheets/sheet5.xml" Id="Rb928034b00584b56" /><Relationship Type="http://schemas.openxmlformats.org/officeDocument/2006/relationships/worksheet" Target="/xl/worksheets/sheet6.xml" Id="Rb993adeec47d4f73" /><Relationship Type="http://schemas.openxmlformats.org/officeDocument/2006/relationships/worksheet" Target="/xl/worksheets/sheet7.xml" Id="R7b840e17e69642cb" /><Relationship Type="http://schemas.openxmlformats.org/officeDocument/2006/relationships/worksheet" Target="/xl/worksheets/sheet8.xml" Id="R783a4837ec2f4b1a" /></Relationships>
</file>

<file path=xl/tables/table1.xml><?xml version="1.0" encoding="utf-8"?>
<x:table xmlns:x="http://schemas.openxmlformats.org/spreadsheetml/2006/main" id="1" name="OpportunitiesTable" displayName="OpportunitiesTable" ref="A5:AK9" headerRowCount="1" totalsRowCount="0" totalsRowShown="0">
  <x:tableColumns count="37">
    <x:tableColumn id="1" name="记录ID"/>
    <x:tableColumn id="2" name="关注"/>
    <x:tableColumn id="3" name="招聘性质"/>
    <x:tableColumn id="4" name="地区"/>
    <x:tableColumn id="5" name="区县"/>
    <x:tableColumn id="6" name="招聘单位"/>
    <x:tableColumn id="7" name="主管部门"/>
    <x:tableColumn id="8" name="公告标题"/>
    <x:tableColumn id="9" name="公告阶段"/>
    <x:tableColumn id="10" name="公告日期"/>
    <x:tableColumn id="11" name="报名开始"/>
    <x:tableColumn id="12" name="报名截止"/>
    <x:tableColumn id="13" name="剩余天数"/>
    <x:tableColumn id="14" name="报名状态"/>
    <x:tableColumn id="15" name="招聘人数"/>
    <x:tableColumn id="16" name="岗位/岗位代码"/>
    <x:tableColumn id="17" name="招聘对象"/>
    <x:tableColumn id="18" name="年龄要求"/>
    <x:tableColumn id="19" name="学历"/>
    <x:tableColumn id="20" name="学位"/>
    <x:tableColumn id="21" name="专业/代码"/>
    <x:tableColumn id="22" name="户籍/生源"/>
    <x:tableColumn id="23" name="政治面貌"/>
    <x:tableColumn id="24" name="工作经历"/>
    <x:tableColumn id="25" name="资格证/职称"/>
    <x:tableColumn id="26" name="考试科目"/>
    <x:tableColumn id="27" name="官方大纲/资料说明"/>
    <x:tableColumn id="28" name="材料要求"/>
    <x:tableColumn id="29" name="报名入口"/>
    <x:tableColumn id="30" name="公告原文"/>
    <x:tableColumn id="31" name="职位表/附件"/>
    <x:tableColumn id="32" name="核验状态"/>
    <x:tableColumn id="33" name="最近核验"/>
    <x:tableColumn id="34" name="来源级别"/>
    <x:tableColumn id="35" name="更正/关联公告"/>
    <x:tableColumn id="36" name="下一步动作"/>
    <x:tableColumn id="37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melineTable" displayName="TimelineTable" ref="A5:J10" headerRowCount="1" totalsRowCount="0" totalsRowShown="0">
  <x:tableColumns count="10">
    <x:tableColumn id="1" name="记录ID"/>
    <x:tableColumn id="2" name="事项"/>
    <x:tableColumn id="3" name="开始时间"/>
    <x:tableColumn id="4" name="截止时间"/>
    <x:tableColumn id="5" name="是否必须"/>
    <x:tableColumn id="6" name="完成状态"/>
    <x:tableColumn id="7" name="提前提醒天数"/>
    <x:tableColumn id="8" name="提醒日期"/>
    <x:tableColumn id="9" name="官方依据"/>
    <x:tableColumn id="1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5:M60" headerRowCount="1" totalsRowCount="0" totalsRowShown="0">
  <x:tableColumns count="13">
    <x:tableColumn id="1" name="来源ID"/>
    <x:tableColumn id="2" name="权威等级"/>
    <x:tableColumn id="3" name="来源名称"/>
    <x:tableColumn id="4" name="地区"/>
    <x:tableColumn id="5" name="类别"/>
    <x:tableColumn id="6" name="URL"/>
    <x:tableColumn id="7" name="官方"/>
    <x:tableColumn id="8" name="来源角色"/>
    <x:tableColumn id="9" name="频率"/>
    <x:tableColumn id="10" name="启用"/>
    <x:tableColumn id="11" name="自动监控"/>
    <x:tableColumn id="12" name="最近核验"/>
    <x:tableColumn id="13" name="限制/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terialsTable" displayName="MaterialsTable" ref="A5:H23" headerRowCount="1" totalsRowCount="0" totalsRowShown="0">
  <x:tableColumns count="8">
    <x:tableColumn id="1" name="材料类别"/>
    <x:tableColumn id="2" name="材料名称"/>
    <x:tableColumn id="3" name="适用情形"/>
    <x:tableColumn id="4" name="是否具备"/>
    <x:tableColumn id="5" name="有效期/更新时间"/>
    <x:tableColumn id="6" name="建议保存位置"/>
    <x:tableColumn id="7" name="官方依据"/>
    <x:tableColumn id="8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ionaryTable" displayName="DictionaryTable" ref="A5:D20" headerRowCount="1" totalsRowCount="0" totalsRowShown="0">
  <x:tableColumns count="4">
    <x:tableColumn id="1" name="字段/状态"/>
    <x:tableColumn id="2" name="允许值或格式"/>
    <x:tableColumn id="3" name="定义"/>
    <x:tableColumn id="4" name="常见错误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944257cfef94c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7335b14c8fa44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b7c9c5015584f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3ede331897c4d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07645589cdb74f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12" hidden="0" customWidth="1"/>
    <x:col min="4" max="4" width="23" hidden="0" customWidth="1"/>
    <x:col min="5" max="5" width="12" hidden="0" customWidth="1"/>
    <x:col min="6" max="6" width="23" hidden="0" customWidth="1"/>
    <x:col min="7" max="7" width="12" hidden="0" customWidth="1"/>
    <x:col min="8" max="8" width="28" hidden="0" customWidth="1"/>
  </x:cols>
  <x:sheetData>
    <x:row r="1" ht="34" customHeight="1">
      <x:c r="A1" s="3" t="str">
        <x:v>广东公考 · 事业编 · 国企信息监控台账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空白模板 + 2026 已核验示例。所有时间与资格条件必须以最新官方公告及附件为准。最后核验：2026-08-09。</x:v>
      </x:c>
      <x:c r="B2" s="7"/>
      <x:c r="C2" s="7"/>
      <x:c r="D2" s="7"/>
      <x:c r="E2" s="7"/>
      <x:c r="F2" s="7"/>
      <x:c r="G2" s="7"/>
      <x:c r="H2" s="7"/>
    </x:row>
    <x:row r="4">
      <x:c r="A4" s="9" t="str">
        <x:v>使用顺序</x:v>
      </x:c>
      <x:c r="B4" s="9"/>
      <x:c r="C4" s="9"/>
      <x:c r="D4" s="9"/>
      <x:c r="E4" s="9"/>
      <x:c r="F4" s="9"/>
      <x:c r="G4" s="9"/>
      <x:c r="H4" s="9"/>
    </x:row>
    <x:row r="5" ht="34" customHeight="1">
      <x:c r="A5" s="43" t="str">
        <x:v>1</x:v>
      </x:c>
      <x:c r="B5" s="49" t="str">
        <x:v>先填个人条件</x:v>
      </x:c>
      <x:c r="C5" s="29" t="str">
        <x:v>只在私有副本填写；公开 GitHub 仓库不得保存身份证、手机号、住址或证件扫描件。</x:v>
      </x:c>
      <x:c r="D5" s="29" t="str"/>
      <x:c r="E5" s="29" t="str"/>
      <x:c r="F5" s="29" t="str"/>
      <x:c r="G5" s="29" t="str"/>
      <x:c r="H5" s="30" t="str"/>
    </x:row>
    <x:row r="6" ht="34" customHeight="1">
      <x:c r="A6" s="44" t="str">
        <x:v>2</x:v>
      </x:c>
      <x:c r="B6" s="50" t="str">
        <x:v>每天看仪表盘</x:v>
      </x:c>
      <x:c r="C6" s="32" t="str">
        <x:v>优先处理临近截止、待确认、待打印准考证和待复核事项。</x:v>
      </x:c>
      <x:c r="D6" s="32" t="str"/>
      <x:c r="E6" s="32" t="str"/>
      <x:c r="F6" s="32" t="str"/>
      <x:c r="G6" s="32" t="str"/>
      <x:c r="H6" s="33" t="str"/>
    </x:row>
    <x:row r="7" ht="34" customHeight="1">
      <x:c r="A7" s="44" t="str">
        <x:v>3</x:v>
      </x:c>
      <x:c r="B7" s="50" t="str">
        <x:v>新公告进招考机会</x:v>
      </x:c>
      <x:c r="C7" s="32" t="str">
        <x:v>先分类公务员/选调生/参公/事业编/编外/国企，再填时间与资格条件。</x:v>
      </x:c>
      <x:c r="D7" s="32" t="str"/>
      <x:c r="E7" s="32" t="str"/>
      <x:c r="F7" s="32" t="str"/>
      <x:c r="G7" s="32" t="str"/>
      <x:c r="H7" s="33" t="str"/>
    </x:row>
    <x:row r="8" ht="34" customHeight="1">
      <x:c r="A8" s="44" t="str">
        <x:v>4</x:v>
      </x:c>
      <x:c r="B8" s="50" t="str">
        <x:v>拆关键时间点</x:v>
      </x:c>
      <x:c r="C8" s="32" t="str">
        <x:v>报名、确认、缴费、准考证、笔试、资格复审、面试、体检分别建行。</x:v>
      </x:c>
      <x:c r="D8" s="32" t="str"/>
      <x:c r="E8" s="32" t="str"/>
      <x:c r="F8" s="32" t="str"/>
      <x:c r="G8" s="32" t="str"/>
      <x:c r="H8" s="33" t="str"/>
    </x:row>
    <x:row r="9" ht="34" customHeight="1">
      <x:c r="A9" s="44" t="str">
        <x:v>5</x:v>
      </x:c>
      <x:c r="B9" s="50" t="str">
        <x:v>打开全部附件</x:v>
      </x:c>
      <x:c r="C9" s="32" t="str">
        <x:v>职位表、报考指南、专业目录、大纲和资格复审清单缺一项都标记待复核。</x:v>
      </x:c>
      <x:c r="D9" s="32" t="str"/>
      <x:c r="E9" s="32" t="str"/>
      <x:c r="F9" s="32" t="str"/>
      <x:c r="G9" s="32" t="str"/>
      <x:c r="H9" s="33" t="str"/>
    </x:row>
    <x:row r="10" ht="34" customHeight="1">
      <x:c r="A10" s="44" t="str">
        <x:v>6</x:v>
      </x:c>
      <x:c r="B10" s="50" t="str">
        <x:v>只认官方边界</x:v>
      </x:c>
      <x:c r="C10" s="32" t="str">
        <x:v>报名系统负责操作；商业聚合和培训信息只能作线索，不能作为最终依据。</x:v>
      </x:c>
      <x:c r="D10" s="32" t="str"/>
      <x:c r="E10" s="32" t="str"/>
      <x:c r="F10" s="32" t="str"/>
      <x:c r="G10" s="32" t="str"/>
      <x:c r="H10" s="33" t="str"/>
    </x:row>
    <x:row r="11" ht="34" customHeight="1">
      <x:c r="A11" s="45" t="str">
        <x:v>7</x:v>
      </x:c>
      <x:c r="B11" s="51" t="str">
        <x:v>保留变更历史</x:v>
      </x:c>
      <x:c r="C11" s="35" t="str">
        <x:v>更正、补充、暂停、取消和补录必须关联原公告，不能静默覆盖。</x:v>
      </x:c>
      <x:c r="D11" s="35" t="str"/>
      <x:c r="E11" s="35" t="str"/>
      <x:c r="F11" s="35" t="str"/>
      <x:c r="G11" s="35" t="str"/>
      <x:c r="H11" s="36" t="str"/>
    </x:row>
    <x:row r="13">
      <x:c r="A13" s="53" t="str">
        <x:v>招聘性质速查</x:v>
      </x:c>
      <x:c r="B13" s="53"/>
      <x:c r="C13" s="53"/>
      <x:c r="D13" s="53"/>
      <x:c r="E13" s="53"/>
      <x:c r="F13" s="53"/>
      <x:c r="G13" s="53"/>
      <x:c r="H13" s="53"/>
    </x:row>
    <x:row r="14" ht="30" customHeight="1">
      <x:c r="A14" s="59" t="str">
        <x:v>公务员</x:v>
      </x:c>
      <x:c r="B14" s="59" t="str">
        <x:v>行政编制招录</x:v>
      </x:c>
      <x:c r="C14" s="59" t="str">
        <x:v>选调生</x:v>
      </x:c>
      <x:c r="D14" s="59" t="str">
        <x:v>公务员专项招录</x:v>
      </x:c>
      <x:c r="E14" s="59" t="str">
        <x:v>参公</x:v>
      </x:c>
      <x:c r="F14" s="59" t="str">
        <x:v>参照公务员法管理</x:v>
      </x:c>
      <x:c r="G14" s="59" t="str">
        <x:v>事业编</x:v>
      </x:c>
      <x:c r="H14" s="59" t="str">
        <x:v>公告明确编制内</x:v>
      </x:c>
    </x:row>
    <x:row r="15" ht="30" customHeight="1">
      <x:c r="A15" s="60" t="str">
        <x:v>编外</x:v>
      </x:c>
      <x:c r="B15" s="60" t="str">
        <x:v>雇员/辅助/合同制</x:v>
      </x:c>
      <x:c r="C15" s="60" t="str">
        <x:v>国企</x:v>
      </x:c>
      <x:c r="D15" s="60" t="str">
        <x:v>企业劳动合同</x:v>
      </x:c>
      <x:c r="E15" s="60" t="str">
        <x:v>待核实</x:v>
      </x:c>
      <x:c r="F15" s="60" t="str">
        <x:v>原文不清楚</x:v>
      </x:c>
      <x:c r="G15" s="60" t="str">
        <x:v>重要</x:v>
      </x:c>
      <x:c r="H15" s="60" t="str">
        <x:v>名称相似不代表性质相同</x:v>
      </x:c>
    </x:row>
    <x:row r="16" ht="30" customHeight="1">
      <x:c r="A16" s="60" t="str">
        <x:v>官方大纲</x:v>
      </x:c>
      <x:c r="B16" s="60" t="str">
        <x:v>可作为官方备考边界</x:v>
      </x:c>
      <x:c r="C16" s="60" t="str">
        <x:v>专业目录</x:v>
      </x:c>
      <x:c r="D16" s="60" t="str">
        <x:v>用于专业判断</x:v>
      </x:c>
      <x:c r="E16" s="60" t="str">
        <x:v>报考指南</x:v>
      </x:c>
      <x:c r="F16" s="60" t="str">
        <x:v>用于资格与流程</x:v>
      </x:c>
      <x:c r="G16" s="60" t="str">
        <x:v>教材</x:v>
      </x:c>
      <x:c r="H16" s="60" t="str">
        <x:v>多数公告明确不指定</x:v>
      </x:c>
    </x:row>
    <x:row r="17" ht="30" customHeight="1">
      <x:c r="A17" s="60" t="str">
        <x:v>A 级源</x:v>
      </x:c>
      <x:c r="B17" s="60" t="str">
        <x:v>主管机关/法定汇总</x:v>
      </x:c>
      <x:c r="C17" s="60" t="str">
        <x:v>B 级源</x:v>
      </x:c>
      <x:c r="D17" s="60" t="str">
        <x:v>地市/区级/行业官网</x:v>
      </x:c>
      <x:c r="E17" s="60" t="str">
        <x:v>C 级源</x:v>
      </x:c>
      <x:c r="F17" s="60" t="str">
        <x:v>操作或补充平台</x:v>
      </x:c>
      <x:c r="G17" s="60" t="str">
        <x:v>D 级源</x:v>
      </x:c>
      <x:c r="H17" s="60" t="str">
        <x:v>第三方技术通道</x:v>
      </x:c>
    </x:row>
    <x:row r="18" ht="30" customHeight="1">
      <x:c r="A18" s="60" t="str">
        <x:v>核验状态</x:v>
      </x:c>
      <x:c r="B18" s="60" t="str">
        <x:v>已核验/待复核/有更正/已失效</x:v>
      </x:c>
      <x:c r="C18" s="60" t="str">
        <x:v>时间</x:v>
      </x:c>
      <x:c r="D18" s="60" t="str">
        <x:v>统一按北京时间</x:v>
      </x:c>
      <x:c r="E18" s="60" t="str">
        <x:v>预计</x:v>
      </x:c>
      <x:c r="F18" s="60" t="str">
        <x:v>不得当确定日期</x:v>
      </x:c>
      <x:c r="G18" s="60" t="str">
        <x:v>附件失败</x:v>
      </x:c>
      <x:c r="H18" s="60" t="str">
        <x:v>必须明确记录</x:v>
      </x:c>
    </x:row>
    <x:row r="19" ht="30" customHeight="1">
      <x:c r="A19" s="60" t="str">
        <x:v>公开仓库</x:v>
      </x:c>
      <x:c r="B19" s="60" t="str">
        <x:v>只放公开信息与空模板</x:v>
      </x:c>
      <x:c r="C19" s="60" t="str">
        <x:v>私有副本</x:v>
      </x:c>
      <x:c r="D19" s="60" t="str">
        <x:v>可填写个人条件</x:v>
      </x:c>
      <x:c r="E19" s="60" t="str">
        <x:v>证件扫描</x:v>
      </x:c>
      <x:c r="F19" s="60" t="str">
        <x:v>不得提交</x:v>
      </x:c>
      <x:c r="G19" s="60" t="str">
        <x:v>报名截图</x:v>
      </x:c>
      <x:c r="H19" s="60" t="str">
        <x:v>不得提交</x:v>
      </x:c>
    </x:row>
    <x:row r="20" ht="30" customHeight="1">
      <x:c r="A20" s="60" t="str">
        <x:v>覆盖口径</x:v>
      </x:c>
      <x:c r="B20" s="60" t="str">
        <x:v>法定汇总兜底</x:v>
      </x:c>
      <x:c r="C20" s="60" t="str">
        <x:v>广州加密</x:v>
      </x:c>
      <x:c r="D20" s="60" t="str">
        <x:v>11 区逐一检查</x:v>
      </x:c>
      <x:c r="E20" s="60" t="str">
        <x:v>行业补漏</x:v>
      </x:c>
      <x:c r="F20" s="60" t="str">
        <x:v>教育/卫生/国资</x:v>
      </x:c>
      <x:c r="G20" s="60" t="str">
        <x:v>动态扩源</x:v>
      </x:c>
      <x:c r="H20" s="60" t="str">
        <x:v>从公告发现单位官网</x:v>
      </x:c>
    </x:row>
  </x:sheetData>
  <x:mergeCells>
    <x:mergeCell ref="A1:H1"/>
    <x:mergeCell ref="A2:H2"/>
    <x:mergeCell ref="A4:H4"/>
    <x:mergeCell ref="C5:H5"/>
    <x:mergeCell ref="C6:H6"/>
    <x:mergeCell ref="C7:H7"/>
    <x:mergeCell ref="C8:H8"/>
    <x:mergeCell ref="C9:H9"/>
    <x:mergeCell ref="C10:H10"/>
    <x:mergeCell ref="C11:H1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" hidden="0" customWidth="1"/>
    <x:col min="4" max="4" width="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3" t="str">
        <x:v>监控仪表盘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用于每天快速判断：哪里有新公告、什么要立即处理、哪些来源失联。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95" t="str">
        <x:v>数据核验日</x:v>
      </x:c>
      <x:c r="B4" s="96" t="n">
        <x:v>46243</x:v>
      </x:c>
    </x:row>
    <x:row r="6">
      <x:c r="A6" s="99" t="str">
        <x:v>已收录项目</x:v>
      </x:c>
      <x:c r="B6" s="99"/>
      <x:c r="C6" s="99"/>
      <x:c r="D6" s="99" t="str">
        <x:v>报名中/临近截止</x:v>
      </x:c>
      <x:c r="E6" s="99"/>
      <x:c r="F6" s="99"/>
      <x:c r="G6" s="99" t="str">
        <x:v>待复核</x:v>
      </x:c>
      <x:c r="H6" s="99"/>
      <x:c r="I6" s="99"/>
      <x:c r="J6" s="99" t="str">
        <x:v>重点关注</x:v>
      </x:c>
      <x:c r="K6" s="99"/>
      <x:c r="L6" s="99"/>
    </x:row>
    <x:row r="7">
      <x:c r="A7" s="118" t="n">
        <x:f>COUNTA('招考机会'!$A$6:$A$205)</x:f>
        <x:v>4</x:v>
      </x:c>
      <x:c r="B7" s="119"/>
      <x:c r="C7" s="120"/>
      <x:c r="D7" s="146" t="n">
        <x:f>COUNTIF('招考机会'!$N$6:$N$205,"报名中")+COUNTIF('招考机会'!$N$6:$N$205,"临近截止")</x:f>
        <x:v>0</x:v>
      </x:c>
      <x:c r="E7" s="147"/>
      <x:c r="F7" s="148"/>
      <x:c r="G7" s="173" t="n">
        <x:f>COUNTIF('招考机会'!$AF$6:$AF$205,"待复核")</x:f>
        <x:v>0</x:v>
      </x:c>
      <x:c r="H7" s="174"/>
      <x:c r="I7" s="175"/>
      <x:c r="J7" s="201" t="n">
        <x:f>COUNTIF('招考机会'!$B$6:$B$205,"是")</x:f>
        <x:v>3</x:v>
      </x:c>
      <x:c r="K7" s="202"/>
      <x:c r="L7" s="203"/>
    </x:row>
    <x:row r="8">
      <x:c r="A8" s="121"/>
      <x:c r="B8" s="122"/>
      <x:c r="C8" s="123"/>
      <x:c r="D8" s="149"/>
      <x:c r="E8" s="150"/>
      <x:c r="F8" s="151"/>
      <x:c r="G8" s="176"/>
      <x:c r="H8" s="177"/>
      <x:c r="I8" s="178"/>
      <x:c r="J8" s="204"/>
      <x:c r="K8" s="205"/>
      <x:c r="L8" s="206"/>
    </x:row>
    <x:row r="9">
      <x:c r="A9" s="124"/>
      <x:c r="B9" s="125"/>
      <x:c r="C9" s="126"/>
      <x:c r="D9" s="152"/>
      <x:c r="E9" s="153"/>
      <x:c r="F9" s="154"/>
      <x:c r="G9" s="179"/>
      <x:c r="H9" s="180"/>
      <x:c r="I9" s="181"/>
      <x:c r="J9" s="207"/>
      <x:c r="K9" s="208"/>
      <x:c r="L9" s="209"/>
    </x:row>
    <x:row r="11">
      <x:c r="A11" s="53" t="str">
        <x:v>按招聘性质</x:v>
      </x:c>
      <x:c r="B11" s="53"/>
      <x:c r="C11" s="53"/>
      <x:c r="D11" s="53"/>
      <x:c r="E11" s="53"/>
      <x:c r="F11" s="53"/>
    </x:row>
    <x:row r="12" ht="32" customHeight="1">
      <x:c r="A12" s="74" t="str">
        <x:v>招聘性质</x:v>
      </x:c>
      <x:c r="B12" s="76" t="str">
        <x:v>项目数</x:v>
      </x:c>
      <x:c r="D12" s="74" t="str">
        <x:v>今日检查顺序</x:v>
      </x:c>
      <x:c r="E12" s="75"/>
      <x:c r="F12" s="75"/>
      <x:c r="G12" s="75"/>
      <x:c r="H12" s="75"/>
      <x:c r="I12" s="75"/>
      <x:c r="J12" s="75"/>
      <x:c r="K12" s="75"/>
      <x:c r="L12" s="76"/>
    </x:row>
    <x:row r="13" ht="38" customHeight="1">
      <x:c r="A13" s="59" t="str">
        <x:v>公务员</x:v>
      </x:c>
      <x:c r="B13" s="59" t="n">
        <x:f>COUNTIF('招考机会'!$C$6:$C$205,A13)</x:f>
        <x:v>2</x:v>
      </x:c>
      <x:c r="D13" s="216" t="str">
        <x:v>1</x:v>
      </x:c>
      <x:c r="E13" s="29" t="str">
        <x:v>先看关键时间点中未完成事项，尤其是确认、缴费和准考证。</x:v>
      </x:c>
      <x:c r="F13" s="29"/>
      <x:c r="G13" s="29"/>
      <x:c r="H13" s="29"/>
      <x:c r="I13" s="29"/>
      <x:c r="J13" s="29"/>
      <x:c r="K13" s="29"/>
      <x:c r="L13" s="30"/>
    </x:row>
    <x:row r="14" ht="38" customHeight="1">
      <x:c r="A14" s="60" t="str">
        <x:v>选调生</x:v>
      </x:c>
      <x:c r="B14" s="60" t="n">
        <x:f>COUNTIF('招考机会'!$C$6:$C$205,A14)</x:f>
        <x:v>0</x:v>
      </x:c>
      <x:c r="D14" s="217" t="str">
        <x:v>2</x:v>
      </x:c>
      <x:c r="E14" s="32" t="str">
        <x:v>看招考机会的待复核与有更正记录，打开官方原文和全部附件。</x:v>
      </x:c>
      <x:c r="F14" s="32"/>
      <x:c r="G14" s="32"/>
      <x:c r="H14" s="32"/>
      <x:c r="I14" s="32"/>
      <x:c r="J14" s="32"/>
      <x:c r="K14" s="32"/>
      <x:c r="L14" s="33"/>
    </x:row>
    <x:row r="15" ht="38" customHeight="1">
      <x:c r="A15" s="60" t="str">
        <x:v>参公</x:v>
      </x:c>
      <x:c r="B15" s="60" t="n">
        <x:f>COUNTIF('招考机会'!$C$6:$C$205,A15)</x:f>
        <x:v>0</x:v>
      </x:c>
      <x:c r="D15" s="217" t="str">
        <x:v>3</x:v>
      </x:c>
      <x:c r="E15" s="32" t="str">
        <x:v>看 source_health.csv 中失败的 A/B 级源，人工补查并记录原因。</x:v>
      </x:c>
      <x:c r="F15" s="32"/>
      <x:c r="G15" s="32"/>
      <x:c r="H15" s="32"/>
      <x:c r="I15" s="32"/>
      <x:c r="J15" s="32"/>
      <x:c r="K15" s="32"/>
      <x:c r="L15" s="33"/>
    </x:row>
    <x:row r="16" ht="38" customHeight="1">
      <x:c r="A16" s="60" t="str">
        <x:v>事业编</x:v>
      </x:c>
      <x:c r="B16" s="60" t="n">
        <x:f>COUNTIF('招考机会'!$C$6:$C$205,A16)</x:f>
        <x:v>2</x:v>
      </x:c>
      <x:c r="D16" s="217" t="str">
        <x:v>4</x:v>
      </x:c>
      <x:c r="E16" s="32" t="str">
        <x:v>新岗位先判断用工性质，再做个人条件匹配；不把编外和国企混入事业编。</x:v>
      </x:c>
      <x:c r="F16" s="32"/>
      <x:c r="G16" s="32"/>
      <x:c r="H16" s="32"/>
      <x:c r="I16" s="32"/>
      <x:c r="J16" s="32"/>
      <x:c r="K16" s="32"/>
      <x:c r="L16" s="33"/>
    </x:row>
    <x:row r="17" ht="38" customHeight="1">
      <x:c r="A17" s="60" t="str">
        <x:v>编外</x:v>
      </x:c>
      <x:c r="B17" s="60" t="n">
        <x:f>COUNTIF('招考机会'!$C$6:$C$205,A17)</x:f>
        <x:v>0</x:v>
      </x:c>
      <x:c r="D17" s="218" t="str">
        <x:v>5</x:v>
      </x:c>
      <x:c r="E17" s="35" t="str">
        <x:v>发布提醒时写明核验时间、官方链接、截止时分和未确认事项。</x:v>
      </x:c>
      <x:c r="F17" s="35"/>
      <x:c r="G17" s="35"/>
      <x:c r="H17" s="35"/>
      <x:c r="I17" s="35"/>
      <x:c r="J17" s="35"/>
      <x:c r="K17" s="35"/>
      <x:c r="L17" s="36"/>
    </x:row>
    <x:row r="18">
      <x:c r="A18" s="60" t="str">
        <x:v>国企</x:v>
      </x:c>
      <x:c r="B18" s="60" t="n">
        <x:f>COUNTIF('招考机会'!$C$6:$C$205,A18)</x:f>
        <x:v>0</x:v>
      </x:c>
    </x:row>
    <x:row r="20">
      <x:c r="A20" s="237" t="str">
        <x:v>覆盖声明：仪表盘统计的是已进入结构化台账的项目，不等于所有成功抓取链接。脚本发现层、官方原文核验层和候选人匹配层必须分开。任何失败来源都要列明，不能用“未发现”代替“无法访问”。</x:v>
      </x:c>
      <x:c r="B20" s="238"/>
      <x:c r="C20" s="238"/>
      <x:c r="D20" s="238"/>
      <x:c r="E20" s="238"/>
      <x:c r="F20" s="238"/>
      <x:c r="G20" s="238"/>
      <x:c r="H20" s="238"/>
      <x:c r="I20" s="238"/>
      <x:c r="J20" s="238"/>
      <x:c r="K20" s="238"/>
      <x:c r="L20" s="239"/>
    </x:row>
    <x:row r="21">
      <x:c r="A21" s="240"/>
      <x:c r="B21" s="241"/>
      <x:c r="C21" s="241"/>
      <x:c r="D21" s="241"/>
      <x:c r="E21" s="241"/>
      <x:c r="F21" s="241"/>
      <x:c r="G21" s="241"/>
      <x:c r="H21" s="241"/>
      <x:c r="I21" s="241"/>
      <x:c r="J21" s="241"/>
      <x:c r="K21" s="241"/>
      <x:c r="L21" s="242"/>
    </x:row>
    <x:row r="22">
      <x:c r="A22" s="243"/>
      <x:c r="B22" s="244"/>
      <x:c r="C22" s="244"/>
      <x:c r="D22" s="244"/>
      <x:c r="E22" s="244"/>
      <x:c r="F22" s="244"/>
      <x:c r="G22" s="244"/>
      <x:c r="H22" s="244"/>
      <x:c r="I22" s="244"/>
      <x:c r="J22" s="244"/>
      <x:c r="K22" s="244"/>
      <x:c r="L22" s="245"/>
    </x:row>
  </x:sheetData>
  <x:mergeCells>
    <x:mergeCell ref="A1:L1"/>
    <x:mergeCell ref="A2:L2"/>
    <x:mergeCell ref="A6:C6"/>
    <x:mergeCell ref="A7:C9"/>
    <x:mergeCell ref="D6:F6"/>
    <x:mergeCell ref="D7:F9"/>
    <x:mergeCell ref="G6:I6"/>
    <x:mergeCell ref="G7:I9"/>
    <x:mergeCell ref="J6:L6"/>
    <x:mergeCell ref="J7:L9"/>
    <x:mergeCell ref="A11:F11"/>
    <x:mergeCell ref="D12:L12"/>
    <x:mergeCell ref="E13:L13"/>
    <x:mergeCell ref="E14:L14"/>
    <x:mergeCell ref="E15:L15"/>
    <x:mergeCell ref="E16:L16"/>
    <x:mergeCell ref="E17:L17"/>
    <x:mergeCell ref="A20:L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" hidden="0" customWidth="1"/>
    <x:col min="3" max="3" width="11" hidden="0" customWidth="1"/>
    <x:col min="4" max="4" width="12" hidden="0" customWidth="1"/>
    <x:col min="5" max="5" width="12" hidden="0" customWidth="1"/>
    <x:col min="6" max="6" width="24" hidden="0" customWidth="1"/>
    <x:col min="7" max="7" width="24" hidden="0" customWidth="1"/>
    <x:col min="8" max="8" width="40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1" hidden="0" customWidth="1"/>
    <x:col min="14" max="14" width="12" hidden="0" customWidth="1"/>
    <x:col min="15" max="15" width="11" hidden="0" customWidth="1"/>
    <x:col min="16" max="16" width="20" hidden="0" customWidth="1"/>
    <x:col min="17" max="17" width="28" hidden="0" customWidth="1"/>
    <x:col min="18" max="18" width="24" hidden="0" customWidth="1"/>
    <x:col min="19" max="19" width="16" hidden="0" customWidth="1"/>
    <x:col min="20" max="20" width="14" hidden="0" customWidth="1"/>
    <x:col min="21" max="21" width="28" hidden="0" customWidth="1"/>
    <x:col min="22" max="22" width="25" hidden="0" customWidth="1"/>
    <x:col min="23" max="23" width="16" hidden="0" customWidth="1"/>
    <x:col min="24" max="24" width="20" hidden="0" customWidth="1"/>
    <x:col min="25" max="25" width="20" hidden="0" customWidth="1"/>
    <x:col min="26" max="26" width="30" hidden="0" customWidth="1"/>
    <x:col min="27" max="27" width="32" hidden="0" customWidth="1"/>
    <x:col min="28" max="28" width="36" hidden="0" customWidth="1"/>
    <x:col min="29" max="29" width="34" hidden="0" customWidth="1"/>
    <x:col min="30" max="30" width="42" hidden="0" customWidth="1"/>
    <x:col min="31" max="31" width="42" hidden="0" customWidth="1"/>
    <x:col min="32" max="32" width="13" hidden="0" customWidth="1"/>
    <x:col min="33" max="33" width="14" hidden="0" customWidth="1"/>
    <x:col min="34" max="34" width="10" hidden="0" customWidth="1"/>
    <x:col min="35" max="35" width="28" hidden="0" customWidth="1"/>
    <x:col min="36" max="36" width="32" hidden="0" customWidth="1"/>
    <x:col min="37" max="37" width="34" hidden="0" customWidth="1"/>
  </x:cols>
  <x:sheetData>
    <x:row r="1" ht="34" customHeight="1">
      <x:c r="A1" s="3" t="str">
        <x:v>招考机会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</x:row>
    <x:row r="2" ht="30" customHeight="1">
      <x:c r="A2" s="7" t="str">
        <x:v>示例行用于展示字段和时间链；新增项目时复制一行并替换为最新官方信息。黄色列为优先人工填写，公式列不要覆盖。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</x:row>
    <x:row r="4">
      <x:c r="A4" s="63" t="str">
        <x:v>当前表含 4 条已核验示例；并非 2026-08-09 当日所有在招岗位。每日发现层见 Skill 的 data/notices.csv。</x:v>
      </x:c>
      <x:c r="B4" s="63"/>
      <x:c r="C4" s="63"/>
      <x:c r="D4" s="63"/>
      <x:c r="E4" s="63"/>
      <x:c r="F4" s="63"/>
      <x:c r="G4" s="63"/>
      <x:c r="H4" s="63"/>
      <x:c r="I4" s="63"/>
      <x:c r="J4" s="63"/>
      <x:c r="K4" s="63"/>
      <x:c r="L4" s="63"/>
      <x:c r="M4" s="63"/>
      <x:c r="N4" s="63"/>
      <x:c r="O4" s="63"/>
      <x:c r="P4" s="63"/>
      <x:c r="Q4" s="63"/>
      <x:c r="R4" s="63"/>
      <x:c r="S4" s="63"/>
      <x:c r="T4" s="63"/>
      <x:c r="U4" s="63"/>
      <x:c r="V4" s="63"/>
      <x:c r="W4" s="63"/>
      <x:c r="X4" s="63"/>
      <x:c r="Y4" s="63"/>
      <x:c r="Z4" s="63"/>
      <x:c r="AA4" s="63"/>
      <x:c r="AB4" s="63"/>
      <x:c r="AC4" s="63"/>
      <x:c r="AD4" s="63"/>
      <x:c r="AE4" s="63"/>
      <x:c r="AF4" s="63"/>
      <x:c r="AG4" s="63"/>
      <x:c r="AH4" s="63"/>
      <x:c r="AI4" s="63"/>
      <x:c r="AJ4" s="63"/>
      <x:c r="AK4" s="63"/>
    </x:row>
    <x:row r="5" ht="32" customHeight="1">
      <x:c r="A5" s="74" t="str">
        <x:v>记录ID</x:v>
      </x:c>
      <x:c r="B5" s="75" t="str">
        <x:v>关注</x:v>
      </x:c>
      <x:c r="C5" s="75" t="str">
        <x:v>招聘性质</x:v>
      </x:c>
      <x:c r="D5" s="75" t="str">
        <x:v>地区</x:v>
      </x:c>
      <x:c r="E5" s="75" t="str">
        <x:v>区县</x:v>
      </x:c>
      <x:c r="F5" s="75" t="str">
        <x:v>招聘单位</x:v>
      </x:c>
      <x:c r="G5" s="75" t="str">
        <x:v>主管部门</x:v>
      </x:c>
      <x:c r="H5" s="75" t="str">
        <x:v>公告标题</x:v>
      </x:c>
      <x:c r="I5" s="75" t="str">
        <x:v>公告阶段</x:v>
      </x:c>
      <x:c r="J5" s="75" t="str">
        <x:v>公告日期</x:v>
      </x:c>
      <x:c r="K5" s="75" t="str">
        <x:v>报名开始</x:v>
      </x:c>
      <x:c r="L5" s="75" t="str">
        <x:v>报名截止</x:v>
      </x:c>
      <x:c r="M5" s="75" t="str">
        <x:v>剩余天数</x:v>
      </x:c>
      <x:c r="N5" s="75" t="str">
        <x:v>报名状态</x:v>
      </x:c>
      <x:c r="O5" s="75" t="str">
        <x:v>招聘人数</x:v>
      </x:c>
      <x:c r="P5" s="75" t="str">
        <x:v>岗位/岗位代码</x:v>
      </x:c>
      <x:c r="Q5" s="75" t="str">
        <x:v>招聘对象</x:v>
      </x:c>
      <x:c r="R5" s="75" t="str">
        <x:v>年龄要求</x:v>
      </x:c>
      <x:c r="S5" s="75" t="str">
        <x:v>学历</x:v>
      </x:c>
      <x:c r="T5" s="75" t="str">
        <x:v>学位</x:v>
      </x:c>
      <x:c r="U5" s="75" t="str">
        <x:v>专业/代码</x:v>
      </x:c>
      <x:c r="V5" s="75" t="str">
        <x:v>户籍/生源</x:v>
      </x:c>
      <x:c r="W5" s="75" t="str">
        <x:v>政治面貌</x:v>
      </x:c>
      <x:c r="X5" s="75" t="str">
        <x:v>工作经历</x:v>
      </x:c>
      <x:c r="Y5" s="75" t="str">
        <x:v>资格证/职称</x:v>
      </x:c>
      <x:c r="Z5" s="75" t="str">
        <x:v>考试科目</x:v>
      </x:c>
      <x:c r="AA5" s="75" t="str">
        <x:v>官方大纲/资料说明</x:v>
      </x:c>
      <x:c r="AB5" s="75" t="str">
        <x:v>材料要求</x:v>
      </x:c>
      <x:c r="AC5" s="75" t="str">
        <x:v>报名入口</x:v>
      </x:c>
      <x:c r="AD5" s="75" t="str">
        <x:v>公告原文</x:v>
      </x:c>
      <x:c r="AE5" s="75" t="str">
        <x:v>职位表/附件</x:v>
      </x:c>
      <x:c r="AF5" s="75" t="str">
        <x:v>核验状态</x:v>
      </x:c>
      <x:c r="AG5" s="75" t="str">
        <x:v>最近核验</x:v>
      </x:c>
      <x:c r="AH5" s="75" t="str">
        <x:v>来源级别</x:v>
      </x:c>
      <x:c r="AI5" s="75" t="str">
        <x:v>更正/关联公告</x:v>
      </x:c>
      <x:c r="AJ5" s="75" t="str">
        <x:v>下一步动作</x:v>
      </x:c>
      <x:c r="AK5" s="76" t="str">
        <x:v>备注</x:v>
      </x:c>
    </x:row>
    <x:row r="6" ht="74" customHeight="1">
      <x:c r="A6" s="59" t="str">
        <x:v>NAT-2026-001</x:v>
      </x:c>
      <x:c r="B6" s="59" t="str">
        <x:v>否</x:v>
      </x:c>
      <x:c r="C6" s="59" t="str">
        <x:v>公务员</x:v>
      </x:c>
      <x:c r="D6" s="59" t="str">
        <x:v>全国</x:v>
      </x:c>
      <x:c r="E6" s="59" t="str">
        <x:v>广东职位</x:v>
      </x:c>
      <x:c r="F6" s="59" t="str">
        <x:v>中央机关及其直属机构</x:v>
      </x:c>
      <x:c r="G6" s="59" t="str">
        <x:v>国家公务员局</x:v>
      </x:c>
      <x:c r="H6" s="59" t="str">
        <x:v>中央机关及其直属机构2026年度考试录用公务员</x:v>
      </x:c>
      <x:c r="I6" s="59" t="str">
        <x:v>已结束</x:v>
      </x:c>
      <x:c r="J6" s="77" t="n">
        <x:v>45944</x:v>
      </x:c>
      <x:c r="K6" s="79" t="n">
        <x:v>45945.333333333336</x:v>
      </x:c>
      <x:c r="L6" s="79" t="n">
        <x:v>45954.75</x:v>
      </x:c>
      <x:c r="M6" s="81" t="n">
        <x:f>IF(L6="","",INT(L6-TODAY()))</x:f>
        <x:v>-289</x:v>
      </x:c>
      <x:c r="N6" s="59" t="str">
        <x:f>IF(L6="","待核验",IF(M6&lt;0,"已截止",IF(M6&lt;=3,"临近截止","报名中")))</x:f>
        <x:v>已截止</x:v>
      </x:c>
      <x:c r="O6" s="83" t="n">
        <x:v>38100</x:v>
      </x:c>
      <x:c r="P6" s="59" t="str">
        <x:v>按职位表</x:v>
      </x:c>
      <x:c r="Q6" s="59" t="str">
        <x:v>应届毕业生及社会人员，按职位条件</x:v>
      </x:c>
      <x:c r="R6" s="59" t="str">
        <x:v>一般18—38周岁；部分情形放宽</x:v>
      </x:c>
      <x:c r="S6" s="59" t="str">
        <x:v>大专及以上，按职位</x:v>
      </x:c>
      <x:c r="T6" s="59" t="str">
        <x:v>按职位</x:v>
      </x:c>
      <x:c r="U6" s="59" t="str">
        <x:v>按职位表</x:v>
      </x:c>
      <x:c r="V6" s="59" t="str">
        <x:v>按职位</x:v>
      </x:c>
      <x:c r="W6" s="59" t="str">
        <x:v>按职位</x:v>
      </x:c>
      <x:c r="X6" s="59" t="str">
        <x:v>按职位</x:v>
      </x:c>
      <x:c r="Y6" s="59" t="str">
        <x:v>按职位</x:v>
      </x:c>
      <x:c r="Z6" s="59" t="str">
        <x:v>行测、申论；部分职位专业科目</x:v>
      </x:c>
      <x:c r="AA6" s="59" t="str">
        <x:v>公共科目笔试大纲；不把培训资料标作官方</x:v>
      </x:c>
      <x:c r="AB6" s="59" t="str">
        <x:v>公告、指南、职位表及岗位要求材料</x:v>
      </x:c>
      <x:c r="AC6" s="59" t="str">
        <x:v>http://bm.scs.gov.cn/kl2026</x:v>
      </x:c>
      <x:c r="AD6" s="59" t="str">
        <x:v>http://bm.scs.gov.cn/kl2026</x:v>
      </x:c>
      <x:c r="AE6" s="59" t="str">
        <x:v>http://bm.scs.gov.cn/kl2026</x:v>
      </x:c>
      <x:c r="AF6" s="59" t="str">
        <x:v>已核验</x:v>
      </x:c>
      <x:c r="AG6" s="77" t="n">
        <x:v>46243</x:v>
      </x:c>
      <x:c r="AH6" s="59" t="str">
        <x:v>A</x:v>
      </x:c>
      <x:c r="AI6" s="59" t="str">
        <x:v>2026年补充录用已于5月开展</x:v>
      </x:c>
      <x:c r="AJ6" s="59" t="str">
        <x:v>作为年度规律样本，不沿用日期</x:v>
      </x:c>
      <x:c r="AK6" s="59" t="str">
        <x:v>全国总招录人数；筛选广东工作地点职位</x:v>
      </x:c>
    </x:row>
    <x:row r="7" ht="74" customHeight="1">
      <x:c r="A7" s="60" t="str">
        <x:v>GD-CIVIL-2026</x:v>
      </x:c>
      <x:c r="B7" s="60" t="str">
        <x:v>是</x:v>
      </x:c>
      <x:c r="C7" s="60" t="str">
        <x:v>公务员</x:v>
      </x:c>
      <x:c r="D7" s="60" t="str">
        <x:v>广东省</x:v>
      </x:c>
      <x:c r="E7" s="60" t="str">
        <x:v>含广州</x:v>
      </x:c>
      <x:c r="F7" s="60" t="str">
        <x:v>广东省各级机关</x:v>
      </x:c>
      <x:c r="G7" s="60" t="str">
        <x:v>中共广东省委组织部、广东省人社厅</x:v>
      </x:c>
      <x:c r="H7" s="60" t="str">
        <x:v>广东省2026年考试录用公务员公告</x:v>
      </x:c>
      <x:c r="I7" s="60" t="str">
        <x:v>已结束</x:v>
      </x:c>
      <x:c r="J7" s="78" t="n">
        <x:v>45949</x:v>
      </x:c>
      <x:c r="K7" s="80" t="n">
        <x:v>45950.375</x:v>
      </x:c>
      <x:c r="L7" s="80" t="n">
        <x:v>45954.666666666664</x:v>
      </x:c>
      <x:c r="M7" s="82" t="n">
        <x:f>IF(L7="","",INT(L7-TODAY()))</x:f>
        <x:v>-289</x:v>
      </x:c>
      <x:c r="N7" s="60" t="str">
        <x:f>IF(L7="","待核验",IF(M7&lt;0,"已截止",IF(M7&lt;=3,"临近截止","报名中")))</x:f>
        <x:v>已截止</x:v>
      </x:c>
      <x:c r="O7" s="84" t="n">
        <x:v>11779</x:v>
      </x:c>
      <x:c r="P7" s="60" t="str">
        <x:v>见职位表</x:v>
      </x:c>
      <x:c r="Q7" s="60" t="str">
        <x:v>2026届毕业生及社会人员</x:v>
      </x:c>
      <x:c r="R7" s="60" t="str">
        <x:v>18—38周岁；应届硕博最高学历43周岁</x:v>
      </x:c>
      <x:c r="S7" s="60" t="str">
        <x:v>大专及以上</x:v>
      </x:c>
      <x:c r="T7" s="60" t="str">
        <x:v>按职位</x:v>
      </x:c>
      <x:c r="U7" s="60" t="str">
        <x:v>按2026专业参考目录</x:v>
      </x:c>
      <x:c r="V7" s="60" t="str">
        <x:v>按职位</x:v>
      </x:c>
      <x:c r="W7" s="60" t="str">
        <x:v>按职位</x:v>
      </x:c>
      <x:c r="X7" s="60" t="str">
        <x:v>按职位</x:v>
      </x:c>
      <x:c r="Y7" s="60" t="str">
        <x:v>按职位</x:v>
      </x:c>
      <x:c r="Z7" s="60" t="str">
        <x:v>行政职业能力测验、申论；行政执法/公安分类</x:v>
      </x:c>
      <x:c r="AA7" s="60" t="str">
        <x:v>2026笔试大纲；公告明确不举办或委托培训</x:v>
      </x:c>
      <x:c r="AB7" s="60" t="str">
        <x:v>身份证、报名信息；资格审核材料按职位及后续公告</x:v>
      </x:c>
      <x:c r="AC7" s="60" t="str">
        <x:v>https://ggfw.hrss.gd.gov.cn/gwyks/index.do</x:v>
      </x:c>
      <x:c r="AD7" s="60" t="str">
        <x:v>https://www.gdzz.gov.cn/tzgg/content/mpost_24016.html</x:v>
      </x:c>
      <x:c r="AE7" s="60" t="str">
        <x:v>https://www.gdzz.gov.cn/tzgg/content/mpost_24016.html</x:v>
      </x:c>
      <x:c r="AF7" s="60" t="str">
        <x:v>已核验</x:v>
      </x:c>
      <x:c r="AG7" s="78" t="n">
        <x:v>46243</x:v>
      </x:c>
      <x:c r="AH7" s="60" t="str">
        <x:v>A</x:v>
      </x:c>
      <x:c r="AI7" s="60" t="str">
        <x:v>资格审核和面试等事项公告</x:v>
      </x:c>
      <x:c r="AJ7" s="60" t="str">
        <x:v>关注下一年度新公告，不能套用本年日期</x:v>
      </x:c>
      <x:c r="AK7" s="60" t="str">
        <x:v>2025-11-11至14缴费；12-02打印；12-07笔试</x:v>
      </x:c>
    </x:row>
    <x:row r="8" ht="74" customHeight="1">
      <x:c r="A8" s="60" t="str">
        <x:v>GD-INST-2026</x:v>
      </x:c>
      <x:c r="B8" s="60" t="str">
        <x:v>是</x:v>
      </x:c>
      <x:c r="C8" s="60" t="str">
        <x:v>事业编</x:v>
      </x:c>
      <x:c r="D8" s="60" t="str">
        <x:v>广东省</x:v>
      </x:c>
      <x:c r="E8" s="60" t="str">
        <x:v>含广州</x:v>
      </x:c>
      <x:c r="F8" s="60" t="str">
        <x:v>全省各级事业单位</x:v>
      </x:c>
      <x:c r="G8" s="60" t="str">
        <x:v>省委组织部、省人社厅</x:v>
      </x:c>
      <x:c r="H8" s="60" t="str">
        <x:v>广东省事业单位2026年集中公开招聘高校毕业生公告</x:v>
      </x:c>
      <x:c r="I8" s="60" t="str">
        <x:v>已结束</x:v>
      </x:c>
      <x:c r="J8" s="78" t="n">
        <x:v>46049</x:v>
      </x:c>
      <x:c r="K8" s="80" t="n">
        <x:v>46055.375</x:v>
      </x:c>
      <x:c r="L8" s="80" t="n">
        <x:v>46059.666666666664</x:v>
      </x:c>
      <x:c r="M8" s="82" t="n">
        <x:f>IF(L8="","",INT(L8-TODAY()))</x:f>
        <x:v>-184</x:v>
      </x:c>
      <x:c r="N8" s="60" t="str">
        <x:f>IF(L8="","待核验",IF(M8&lt;0,"已截止",IF(M8&lt;=3,"临近截止","报名中")))</x:f>
        <x:v>已截止</x:v>
      </x:c>
      <x:c r="O8" s="84" t="n">
        <x:v>11066</x:v>
      </x:c>
      <x:c r="P8" s="60" t="str">
        <x:v>见岗位表</x:v>
      </x:c>
      <x:c r="Q8" s="60" t="str">
        <x:v>高校、职业学校、技工院校毕业生</x:v>
      </x:c>
      <x:c r="R8" s="60" t="str">
        <x:v>按岗位</x:v>
      </x:c>
      <x:c r="S8" s="60" t="str">
        <x:v>按岗位</x:v>
      </x:c>
      <x:c r="T8" s="60" t="str">
        <x:v>按岗位</x:v>
      </x:c>
      <x:c r="U8" s="60" t="str">
        <x:v>按岗位及专业目录</x:v>
      </x:c>
      <x:c r="V8" s="60" t="str">
        <x:v>按岗位</x:v>
      </x:c>
      <x:c r="W8" s="60" t="str">
        <x:v>按岗位</x:v>
      </x:c>
      <x:c r="X8" s="60" t="str">
        <x:v>按岗位</x:v>
      </x:c>
      <x:c r="Y8" s="60" t="str">
        <x:v>按岗位</x:v>
      </x:c>
      <x:c r="Z8" s="60" t="str">
        <x:v>主要测评基本能力；部分岗位面试或直接考核</x:v>
      </x:c>
      <x:c r="AA8" s="60" t="str">
        <x:v>公告及报考指南；不把专业目录当教材</x:v>
      </x:c>
      <x:c r="AB8" s="60" t="str">
        <x:v>身份证明、学历学位、岗位证明；复审以单位清单为准</x:v>
      </x:c>
      <x:c r="AC8" s="60" t="str">
        <x:v>https://ggfw.hrss.gd.gov.cn/sydwbk</x:v>
      </x:c>
      <x:c r="AD8" s="60" t="str">
        <x:v>https://hrss.gd.gov.cn/zwgk/sydwzp/zpgg/content/post_4848983.html</x:v>
      </x:c>
      <x:c r="AE8" s="60" t="str">
        <x:v>https://hrss.gd.gov.cn/zwgk/sydwzp/zpgg/content/post_4848983.html</x:v>
      </x:c>
      <x:c r="AF8" s="60" t="str">
        <x:v>已核验</x:v>
      </x:c>
      <x:c r="AG8" s="78" t="n">
        <x:v>46243</x:v>
      </x:c>
      <x:c r="AH8" s="60" t="str">
        <x:v>A</x:v>
      </x:c>
      <x:c r="AI8" s="60" t="str">
        <x:v>各地区面试、体检与公示需到属地或单位官网</x:v>
      </x:c>
      <x:c r="AJ8" s="60" t="str">
        <x:v>关注下一年度新公告和零散招聘</x:v>
      </x:c>
      <x:c r="AK8" s="60" t="str">
        <x:v>2026-02-26至27考试确认；笔试时间以官方另行公告为准</x:v>
      </x:c>
    </x:row>
    <x:row r="9" ht="74" customHeight="1">
      <x:c r="A9" s="60" t="str">
        <x:v>GZ-TH-2026-01</x:v>
      </x:c>
      <x:c r="B9" s="60" t="str">
        <x:v>是</x:v>
      </x:c>
      <x:c r="C9" s="60" t="str">
        <x:v>事业编</x:v>
      </x:c>
      <x:c r="D9" s="60" t="str">
        <x:v>广州市</x:v>
      </x:c>
      <x:c r="E9" s="60" t="str">
        <x:v>天河区</x:v>
      </x:c>
      <x:c r="F9" s="60" t="str">
        <x:v>天河区事业单位</x:v>
      </x:c>
      <x:c r="G9" s="60" t="str">
        <x:v>天河区人力资源和社会保障局</x:v>
      </x:c>
      <x:c r="H9" s="60" t="str">
        <x:v>广州市天河区2026年公开招聘事业单位工作人员公告</x:v>
      </x:c>
      <x:c r="I9" s="60" t="str">
        <x:v>待考试确认</x:v>
      </x:c>
      <x:c r="J9" s="78" t="n">
        <x:v>46226</x:v>
      </x:c>
      <x:c r="K9" s="80" t="n">
        <x:v>46232.375</x:v>
      </x:c>
      <x:c r="L9" s="80" t="n">
        <x:v>46238.708333333336</x:v>
      </x:c>
      <x:c r="M9" s="82" t="n">
        <x:f>IF(L9="","",INT(L9-TODAY()))</x:f>
        <x:v>-5</x:v>
      </x:c>
      <x:c r="N9" s="60" t="str">
        <x:f>IF(L9="","待核验",IF(M9&lt;0,"已截止",IF(M9&lt;=3,"临近截止","报名中")))</x:f>
        <x:v>已截止</x:v>
      </x:c>
      <x:c r="O9" s="84" t="n">
        <x:v>18</x:v>
      </x:c>
      <x:c r="P9" s="60" t="str">
        <x:v>见岗位需求表</x:v>
      </x:c>
      <x:c r="Q9" s="60" t="str">
        <x:v>2026年毕业生和往届生，按岗位</x:v>
      </x:c>
      <x:c r="R9" s="60" t="str">
        <x:v>按岗位</x:v>
      </x:c>
      <x:c r="S9" s="60" t="str">
        <x:v>按岗位</x:v>
      </x:c>
      <x:c r="T9" s="60" t="str">
        <x:v>按岗位</x:v>
      </x:c>
      <x:c r="U9" s="60" t="str">
        <x:v>按2026专业参考目录及岗位</x:v>
      </x:c>
      <x:c r="V9" s="60" t="str">
        <x:v>非广州户籍须符合引进人才入户条件</x:v>
      </x:c>
      <x:c r="W9" s="60" t="str">
        <x:v>按岗位</x:v>
      </x:c>
      <x:c r="X9" s="60" t="str">
        <x:v>按岗位</x:v>
      </x:c>
      <x:c r="Y9" s="60" t="str">
        <x:v>按岗位</x:v>
      </x:c>
      <x:c r="Z9" s="60" t="str">
        <x:v>笔试主要测评综合能力；部分岗位直接业务考核</x:v>
      </x:c>
      <x:c r="AA9" s="60" t="str">
        <x:v>公告明确不指定考试教材、不委托培训</x:v>
      </x:c>
      <x:c r="AB9" s="60" t="str">
        <x:v>报名登记表；学历学位及岗位证明；详见报考指南</x:v>
      </x:c>
      <x:c r="AC9" s="60" t="str">
        <x:v>https://www.qgsydw.com</x:v>
      </x:c>
      <x:c r="AD9" s="60" t="str">
        <x:v>https://www.thnet.gov.cn/thdt/tzgg/rsxx/rszp/content/post_10913681.html</x:v>
      </x:c>
      <x:c r="AE9" s="60" t="str">
        <x:v>https://www.thnet.gov.cn/thdt/tzgg/rsxx/rszp/content/post_10913681.html</x:v>
      </x:c>
      <x:c r="AF9" s="60" t="str">
        <x:v>已核验</x:v>
      </x:c>
      <x:c r="AG9" s="78" t="n">
        <x:v>46243</x:v>
      </x:c>
      <x:c r="AH9" s="60" t="str">
        <x:v>B</x:v>
      </x:c>
      <x:c r="AI9" s="60" t="str">
        <x:v>后续均看天河区人事招聘栏目</x:v>
      </x:c>
      <x:c r="AJ9" s="60" t="str">
        <x:v>8月13日9:00至14日17:00完成考试确认</x:v>
      </x:c>
      <x:c r="AK9" s="60" t="str">
        <x:v>8月20日9:00起打印准考证；笔试时间地点以准考证为准</x:v>
      </x:c>
    </x:row>
  </x:sheetData>
  <x:mergeCells>
    <x:mergeCell ref="A1:AK1"/>
    <x:mergeCell ref="A2:AK2"/>
    <x:mergeCell ref="A4:AK4"/>
  </x:mergeCells>
  <x:conditionalFormatting sqref="N6:N205">
    <x:cfRule type="containsText" dxfId="0" priority="1" operator="containsText" text="临近截止"/>
    <x:cfRule type="containsText" dxfId="1" priority="2" operator="containsText" text="报名中"/>
  </x:conditionalFormatting>
  <x:conditionalFormatting sqref="AF6:AF205">
    <x:cfRule type="containsText" dxfId="2" priority="3" operator="containsText" text="待复核"/>
  </x:conditionalFormatting>
  <x:dataValidations count="4">
    <x:dataValidation type="list" sqref="B6:B205">
      <x:formula1>"是,否"</x:formula1>
    </x:dataValidation>
    <x:dataValidation type="list" sqref="C6:C205">
      <x:formula1>"公务员,选调生,参公,事业编,编外,国企,待核实"</x:formula1>
    </x:dataValidation>
    <x:dataValidation type="list" sqref="I6:I205">
      <x:formula1>"首发,补充更正,报名,待考试确认,准考证/笔试,成绩,资格复审,面试,体检考察,录聘公示,取消暂停,已结束"</x:formula1>
    </x:dataValidation>
    <x:dataValidation type="list" sqref="AF6:AF205">
      <x:formula1>"已核验,待复核,有更正,已失效"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44257cfef94c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20" hidden="0" customWidth="1"/>
    <x:col min="4" max="4" width="20" hidden="0" customWidth="1"/>
    <x:col min="5" max="5" width="12" hidden="0" customWidth="1"/>
    <x:col min="6" max="6" width="17" hidden="0" customWidth="1"/>
    <x:col min="7" max="7" width="14" hidden="0" customWidth="1"/>
    <x:col min="8" max="8" width="20" hidden="0" customWidth="1"/>
    <x:col min="9" max="9" width="48" hidden="0" customWidth="1"/>
    <x:col min="10" max="10" width="30" hidden="0" customWidth="1"/>
  </x:cols>
  <x:sheetData>
    <x:row r="1" ht="34" customHeight="1">
      <x:c r="A1" s="3" t="str">
        <x:v>关键时间点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一行一个动作。报名、确认、缴费、准考证、笔试、资格复审、面试、体检和公示必须拆开。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5" ht="32" customHeight="1">
      <x:c r="A5" s="74" t="str">
        <x:v>记录ID</x:v>
      </x:c>
      <x:c r="B5" s="75" t="str">
        <x:v>事项</x:v>
      </x:c>
      <x:c r="C5" s="75" t="str">
        <x:v>开始时间</x:v>
      </x:c>
      <x:c r="D5" s="75" t="str">
        <x:v>截止时间</x:v>
      </x:c>
      <x:c r="E5" s="75" t="str">
        <x:v>是否必须</x:v>
      </x:c>
      <x:c r="F5" s="75" t="str">
        <x:v>完成状态</x:v>
      </x:c>
      <x:c r="G5" s="75" t="str">
        <x:v>提前提醒天数</x:v>
      </x:c>
      <x:c r="H5" s="75" t="str">
        <x:v>提醒日期</x:v>
      </x:c>
      <x:c r="I5" s="75" t="str">
        <x:v>官方依据</x:v>
      </x:c>
      <x:c r="J5" s="76" t="str">
        <x:v>备注</x:v>
      </x:c>
    </x:row>
    <x:row r="6">
      <x:c r="A6" s="59" t="str">
        <x:v>GZ-TH-2026-01</x:v>
      </x:c>
      <x:c r="B6" s="59" t="str">
        <x:v>考试网上确认</x:v>
      </x:c>
      <x:c r="C6" s="79" t="n">
        <x:v>46247.375</x:v>
      </x:c>
      <x:c r="D6" s="79" t="n">
        <x:v>46248.708333333336</x:v>
      </x:c>
      <x:c r="E6" s="59" t="str">
        <x:v>是</x:v>
      </x:c>
      <x:c r="F6" s="59" t="str">
        <x:v>未完成</x:v>
      </x:c>
      <x:c r="G6" s="59" t="n">
        <x:v>2</x:v>
      </x:c>
      <x:c r="H6" s="79" t="n">
        <x:f>IF(D6="","",D6-G6)</x:f>
        <x:v>46246.708333333336</x:v>
      </x:c>
      <x:c r="I6" s="59" t="str">
        <x:v>https://www.thnet.gov.cn/thdt/tzgg/rsxx/rszp/content/post_10913681.html</x:v>
      </x:c>
      <x:c r="J6" s="59" t="str">
        <x:v>免笔试岗位无需确认</x:v>
      </x:c>
    </x:row>
    <x:row r="7">
      <x:c r="A7" s="60" t="str">
        <x:v>GZ-TH-2026-01</x:v>
      </x:c>
      <x:c r="B7" s="60" t="str">
        <x:v>打印准考证</x:v>
      </x:c>
      <x:c r="C7" s="80" t="n">
        <x:v>46254.375</x:v>
      </x:c>
      <x:c r="D7" s="80"/>
      <x:c r="E7" s="60" t="str">
        <x:v>是</x:v>
      </x:c>
      <x:c r="F7" s="60" t="str">
        <x:v>未完成</x:v>
      </x:c>
      <x:c r="G7" s="60" t="n">
        <x:v>1</x:v>
      </x:c>
      <x:c r="H7" s="80" t="str">
        <x:f>IF(D7="","",D7-G7)</x:f>
      </x:c>
      <x:c r="I7" s="60" t="str">
        <x:v>https://www.thnet.gov.cn/thdt/tzgg/rsxx/rszp/content/post_10913681.html</x:v>
      </x:c>
      <x:c r="J7" s="60" t="str">
        <x:v>参加各环节妥善保存</x:v>
      </x:c>
    </x:row>
    <x:row r="8">
      <x:c r="A8" s="60" t="str">
        <x:v>GD-CIVIL-2026</x:v>
      </x:c>
      <x:c r="B8" s="60" t="str">
        <x:v>缴费确认</x:v>
      </x:c>
      <x:c r="C8" s="80" t="n">
        <x:v>45972.375</x:v>
      </x:c>
      <x:c r="D8" s="80" t="n">
        <x:v>45975.666666666664</x:v>
      </x:c>
      <x:c r="E8" s="60" t="str">
        <x:v>是</x:v>
      </x:c>
      <x:c r="F8" s="60" t="str">
        <x:v>已完成/已过期</x:v>
      </x:c>
      <x:c r="G8" s="60" t="n">
        <x:v>2</x:v>
      </x:c>
      <x:c r="H8" s="80" t="n">
        <x:f>IF(D8="","",D8-G8)</x:f>
        <x:v>45973.666666666664</x:v>
      </x:c>
      <x:c r="I8" s="60" t="str">
        <x:v>https://www.gdzz.gov.cn/tzgg/content/mpost_24016.html</x:v>
      </x:c>
      <x:c r="J8" s="60" t="str">
        <x:v>历史示例</x:v>
      </x:c>
    </x:row>
    <x:row r="9">
      <x:c r="A9" s="60" t="str">
        <x:v>GD-CIVIL-2026</x:v>
      </x:c>
      <x:c r="B9" s="60" t="str">
        <x:v>打印准考证</x:v>
      </x:c>
      <x:c r="C9" s="80" t="n">
        <x:v>45993.375</x:v>
      </x:c>
      <x:c r="D9" s="80"/>
      <x:c r="E9" s="60" t="str">
        <x:v>是</x:v>
      </x:c>
      <x:c r="F9" s="60" t="str">
        <x:v>已完成/已过期</x:v>
      </x:c>
      <x:c r="G9" s="60" t="n">
        <x:v>1</x:v>
      </x:c>
      <x:c r="H9" s="80" t="str">
        <x:f>IF(D9="","",D9-G9)</x:f>
      </x:c>
      <x:c r="I9" s="60" t="str">
        <x:v>https://www.gdzz.gov.cn/tzgg/content/mpost_24016.html</x:v>
      </x:c>
      <x:c r="J9" s="60" t="str">
        <x:v>历史示例</x:v>
      </x:c>
    </x:row>
    <x:row r="10">
      <x:c r="A10" s="60" t="str">
        <x:v>GD-CIVIL-2026</x:v>
      </x:c>
      <x:c r="B10" s="60" t="str">
        <x:v>笔试</x:v>
      </x:c>
      <x:c r="C10" s="80" t="n">
        <x:v>45998.583333333336</x:v>
      </x:c>
      <x:c r="D10" s="80" t="n">
        <x:v>45998.78125</x:v>
      </x:c>
      <x:c r="E10" s="60" t="str">
        <x:v>是</x:v>
      </x:c>
      <x:c r="F10" s="60" t="str">
        <x:v>已完成/已过期</x:v>
      </x:c>
      <x:c r="G10" s="60" t="n">
        <x:v>3</x:v>
      </x:c>
      <x:c r="H10" s="80" t="n">
        <x:f>IF(D10="","",D10-G10)</x:f>
        <x:v>45995.78125</x:v>
      </x:c>
      <x:c r="I10" s="60" t="str">
        <x:v>https://www.gdzz.gov.cn/tzgg/content/mpost_24016.html</x:v>
      </x:c>
      <x:c r="J10" s="60" t="str">
        <x:v>行测后接申论</x:v>
      </x:c>
    </x:row>
  </x:sheetData>
  <x:mergeCells>
    <x:mergeCell ref="A1:J1"/>
    <x:mergeCell ref="A2:J2"/>
  </x:mergeCells>
  <x:conditionalFormatting sqref="F6:F205">
    <x:cfRule type="containsText" dxfId="3" priority="1" operator="containsText" text="未完成"/>
  </x:conditionalFormatting>
  <x:dataValidations count="2">
    <x:dataValidation type="list" sqref="E6:E205">
      <x:formula1>"是,否,按岗位"</x:formula1>
    </x:dataValidation>
    <x:dataValidation type="list" sqref="F6:F205">
      <x:formula1>"未完成,进行中,已完成,已完成/已过期,不适用"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335b14c8fa44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" hidden="0" customWidth="1"/>
    <x:col min="3" max="3" width="34" hidden="0" customWidth="1"/>
    <x:col min="4" max="4" width="19" hidden="0" customWidth="1"/>
    <x:col min="5" max="5" width="19" hidden="0" customWidth="1"/>
    <x:col min="6" max="6" width="53" hidden="0" customWidth="1"/>
    <x:col min="7" max="7" width="10" hidden="0" customWidth="1"/>
    <x:col min="8" max="8" width="35" hidden="0" customWidth="1"/>
    <x:col min="9" max="9" width="13" hidden="0" customWidth="1"/>
    <x:col min="10" max="10" width="10" hidden="0" customWidth="1"/>
    <x:col min="11" max="11" width="12" hidden="0" customWidth="1"/>
    <x:col min="12" max="12" width="14" hidden="0" customWidth="1"/>
    <x:col min="13" max="13" width="42" hidden="0" customWidth="1"/>
  </x:cols>
  <x:sheetData>
    <x:row r="1" ht="34" customHeight="1">
      <x:c r="A1" s="3" t="str">
        <x:v>信息源地图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共 55 个来源；A=主管机关/法定汇总，B=地市/区级/行业官方，C=操作或补充。核验日 2026-08-09。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5" ht="32" customHeight="1">
      <x:c r="A5" s="74" t="str">
        <x:v>来源ID</x:v>
      </x:c>
      <x:c r="B5" s="75" t="str">
        <x:v>权威等级</x:v>
      </x:c>
      <x:c r="C5" s="75" t="str">
        <x:v>来源名称</x:v>
      </x:c>
      <x:c r="D5" s="75" t="str">
        <x:v>地区</x:v>
      </x:c>
      <x:c r="E5" s="75" t="str">
        <x:v>类别</x:v>
      </x:c>
      <x:c r="F5" s="75" t="str">
        <x:v>URL</x:v>
      </x:c>
      <x:c r="G5" s="75" t="str">
        <x:v>官方</x:v>
      </x:c>
      <x:c r="H5" s="75" t="str">
        <x:v>来源角色</x:v>
      </x:c>
      <x:c r="I5" s="75" t="str">
        <x:v>频率</x:v>
      </x:c>
      <x:c r="J5" s="75" t="str">
        <x:v>启用</x:v>
      </x:c>
      <x:c r="K5" s="75" t="str">
        <x:v>自动监控</x:v>
      </x:c>
      <x:c r="L5" s="75" t="str">
        <x:v>最近核验</x:v>
      </x:c>
      <x:c r="M5" s="76" t="str">
        <x:v>限制/备注</x:v>
      </x:c>
    </x:row>
    <x:row r="6" ht="44" customHeight="1">
      <x:c r="A6" s="59" t="str">
        <x:v>NAT-CIVIL-2026</x:v>
      </x:c>
      <x:c r="B6" s="59" t="str">
        <x:v>A</x:v>
      </x:c>
      <x:c r="C6" s="59" t="str">
        <x:v>中央机关及其直属机构2026年度考试录用公务员专题</x:v>
      </x:c>
      <x:c r="D6" s="59" t="str">
        <x:v>全国/广东职位</x:v>
      </x:c>
      <x:c r="E6" s="59" t="str">
        <x:v>公务员</x:v>
      </x:c>
      <x:c r="F6" s="59" t="str">
        <x:v>http://bm.scs.gov.cn/kl2026</x:v>
      </x:c>
      <x:c r="G6" s="59" t="str">
        <x:v>是</x:v>
      </x:c>
      <x:c r="H6" s="59" t="str">
        <x:v>年度公告、职位表、指南、大纲、报名与补录</x:v>
      </x:c>
      <x:c r="I6" s="59" t="str">
        <x:v>每日2次</x:v>
      </x:c>
      <x:c r="J6" s="59" t="str">
        <x:v>是</x:v>
      </x:c>
      <x:c r="K6" s="59" t="str">
        <x:v>是</x:v>
      </x:c>
      <x:c r="L6" s="59" t="str">
        <x:v>2026-08-09</x:v>
      </x:c>
      <x:c r="M6" s="59" t="str">
        <x:v>年度路径；每年发布新专题后更新，不删除历史路径</x:v>
      </x:c>
    </x:row>
    <x:row r="7" ht="44" customHeight="1">
      <x:c r="A7" s="60" t="str">
        <x:v>NAT-CIVIL-HOME</x:v>
      </x:c>
      <x:c r="B7" s="60" t="str">
        <x:v>A</x:v>
      </x:c>
      <x:c r="C7" s="60" t="str">
        <x:v>国家公务员局</x:v>
      </x:c>
      <x:c r="D7" s="60" t="str">
        <x:v>全国</x:v>
      </x:c>
      <x:c r="E7" s="60" t="str">
        <x:v>公务员</x:v>
      </x:c>
      <x:c r="F7" s="60" t="str">
        <x:v>http://www.scs.gov.cn/</x:v>
      </x:c>
      <x:c r="G7" s="60" t="str">
        <x:v>是</x:v>
      </x:c>
      <x:c r="H7" s="60" t="str">
        <x:v>国家公务员主管机关入口</x:v>
      </x:c>
      <x:c r="I7" s="60" t="str">
        <x:v>每日2次</x:v>
      </x:c>
      <x:c r="J7" s="60" t="str">
        <x:v>是</x:v>
      </x:c>
      <x:c r="K7" s="60" t="str">
        <x:v>是</x:v>
      </x:c>
      <x:c r="L7" s="60" t="str">
        <x:v>2026-08-09</x:v>
      </x:c>
      <x:c r="M7" s="60" t="str">
        <x:v>官方 HTTPS 证书与主机名不匹配，监控暂用官方 HTTP 入口；失败必须记录</x:v>
      </x:c>
    </x:row>
    <x:row r="8" ht="44" customHeight="1">
      <x:c r="A8" s="60" t="str">
        <x:v>NAT-INST-MOHRSS</x:v>
      </x:c>
      <x:c r="B8" s="60" t="str">
        <x:v>A</x:v>
      </x:c>
      <x:c r="C8" s="60" t="str">
        <x:v>中央和国家机关所属事业单位公开招聘服务平台</x:v>
      </x:c>
      <x:c r="D8" s="60" t="str">
        <x:v>全国/驻粤单位</x:v>
      </x:c>
      <x:c r="E8" s="60" t="str">
        <x:v>事业单位</x:v>
      </x:c>
      <x:c r="F8" s="60" t="str">
        <x:v>https://www.mohrss.gov.cn/SYrlzyhshbzb/fwyd/SYkaoshizhaopin/zyhgjjgsydwgkzp/</x:v>
      </x:c>
      <x:c r="G8" s="60" t="str">
        <x:v>是</x:v>
      </x:c>
      <x:c r="H8" s="60" t="str">
        <x:v>中央事业单位公告、补充公告与拟聘公示</x:v>
      </x:c>
      <x:c r="I8" s="60" t="str">
        <x:v>每日2次</x:v>
      </x:c>
      <x:c r="J8" s="60" t="str">
        <x:v>是</x:v>
      </x:c>
      <x:c r="K8" s="60" t="str">
        <x:v>是</x:v>
      </x:c>
      <x:c r="L8" s="60" t="str">
        <x:v>2026-08-09</x:v>
      </x:c>
      <x:c r="M8" s="60" t="str">
        <x:v>筛选工作地点含广东或广州</x:v>
      </x:c>
    </x:row>
    <x:row r="9" ht="44" customHeight="1">
      <x:c r="A9" s="60" t="str">
        <x:v>NAT-PUBLIC-JOBS</x:v>
      </x:c>
      <x:c r="B9" s="60" t="str">
        <x:v>A</x:v>
      </x:c>
      <x:c r="C9" s="60" t="str">
        <x:v>中国公共招聘网事业单位公开招聘</x:v>
      </x:c>
      <x:c r="D9" s="60" t="str">
        <x:v>全国/广东</x:v>
      </x:c>
      <x:c r="E9" s="60" t="str">
        <x:v>事业单位</x:v>
      </x:c>
      <x:c r="F9" s="60" t="str">
        <x:v>http://job.mohrss.gov.cn/cjobs/institution/listInstitution</x:v>
      </x:c>
      <x:c r="G9" s="60" t="str">
        <x:v>是</x:v>
      </x:c>
      <x:c r="H9" s="60" t="str">
        <x:v>人社部公共招聘汇总补漏</x:v>
      </x:c>
      <x:c r="I9" s="60" t="str">
        <x:v>每日</x:v>
      </x:c>
      <x:c r="J9" s="60" t="str">
        <x:v>是</x:v>
      </x:c>
      <x:c r="K9" s="60" t="str">
        <x:v>是</x:v>
      </x:c>
      <x:c r="L9" s="60" t="str">
        <x:v>2026-08-09</x:v>
      </x:c>
      <x:c r="M9" s="60" t="str">
        <x:v>官方 HTTPS 当前协议握手失败，监控暂用官方 HTTP 入口；以原始招聘单位公告为最终依据</x:v>
      </x:c>
    </x:row>
    <x:row r="10" ht="44" customHeight="1">
      <x:c r="A10" s="60" t="str">
        <x:v>GD-ORG-NOTICES</x:v>
      </x:c>
      <x:c r="B10" s="60" t="str">
        <x:v>A</x:v>
      </x:c>
      <x:c r="C10" s="60" t="str">
        <x:v>广东组织工作网通知公告</x:v>
      </x:c>
      <x:c r="D10" s="60" t="str">
        <x:v>广东省</x:v>
      </x:c>
      <x:c r="E10" s="60" t="str">
        <x:v>综合</x:v>
      </x:c>
      <x:c r="F10" s="60" t="str">
        <x:v>https://www.gdzz.gov.cn/tzgg/index.html</x:v>
      </x:c>
      <x:c r="G10" s="60" t="str">
        <x:v>是</x:v>
      </x:c>
      <x:c r="H10" s="60" t="str">
        <x:v>省考、选调生、事业单位集中招聘首发</x:v>
      </x:c>
      <x:c r="I10" s="60" t="str">
        <x:v>每日2次</x:v>
      </x:c>
      <x:c r="J10" s="60" t="str">
        <x:v>是</x:v>
      </x:c>
      <x:c r="K10" s="60" t="str">
        <x:v>是</x:v>
      </x:c>
      <x:c r="L10" s="60" t="str">
        <x:v>2026-08-09</x:v>
      </x:c>
      <x:c r="M10" s="60" t="str">
        <x:v>省委组织部官方</x:v>
      </x:c>
    </x:row>
    <x:row r="11" ht="44" customHeight="1">
      <x:c r="A11" s="60" t="str">
        <x:v>GD-ORG-CIVIL</x:v>
      </x:c>
      <x:c r="B11" s="60" t="str">
        <x:v>A</x:v>
      </x:c>
      <x:c r="C11" s="60" t="str">
        <x:v>广东组织工作网公务员录用</x:v>
      </x:c>
      <x:c r="D11" s="60" t="str">
        <x:v>广东省</x:v>
      </x:c>
      <x:c r="E11" s="60" t="str">
        <x:v>公务员/选调生</x:v>
      </x:c>
      <x:c r="F11" s="60" t="str">
        <x:v>https://www.gdzz.gov.cn/gwygz/lypytzgg/</x:v>
      </x:c>
      <x:c r="G11" s="60" t="str">
        <x:v>是</x:v>
      </x:c>
      <x:c r="H11" s="60" t="str">
        <x:v>省考、选调生及省直面试公告</x:v>
      </x:c>
      <x:c r="I11" s="60" t="str">
        <x:v>每日2次</x:v>
      </x:c>
      <x:c r="J11" s="60" t="str">
        <x:v>是</x:v>
      </x:c>
      <x:c r="K11" s="60" t="str">
        <x:v>是</x:v>
      </x:c>
      <x:c r="L11" s="60" t="str">
        <x:v>2026-08-09</x:v>
      </x:c>
      <x:c r="M11" s="60" t="str">
        <x:v>公务员主干来源</x:v>
      </x:c>
    </x:row>
    <x:row r="12" ht="44" customHeight="1">
      <x:c r="A12" s="60" t="str">
        <x:v>GD-ORG-INST</x:v>
      </x:c>
      <x:c r="B12" s="60" t="str">
        <x:v>A</x:v>
      </x:c>
      <x:c r="C12" s="60" t="str">
        <x:v>广东组织工作网事业单位人事管理</x:v>
      </x:c>
      <x:c r="D12" s="60" t="str">
        <x:v>广东省</x:v>
      </x:c>
      <x:c r="E12" s="60" t="str">
        <x:v>事业单位</x:v>
      </x:c>
      <x:c r="F12" s="60" t="str">
        <x:v>https://www.gdzz.gov.cn/gbgz/sydwrsgl/</x:v>
      </x:c>
      <x:c r="G12" s="60" t="str">
        <x:v>是</x:v>
      </x:c>
      <x:c r="H12" s="60" t="str">
        <x:v>全省事业单位集中招聘</x:v>
      </x:c>
      <x:c r="I12" s="60" t="str">
        <x:v>每日2次</x:v>
      </x:c>
      <x:c r="J12" s="60" t="str">
        <x:v>是</x:v>
      </x:c>
      <x:c r="K12" s="60" t="str">
        <x:v>是</x:v>
      </x:c>
      <x:c r="L12" s="60" t="str">
        <x:v>2026-08-09</x:v>
      </x:c>
      <x:c r="M12" s="60" t="str">
        <x:v>事业单位主干来源</x:v>
      </x:c>
    </x:row>
    <x:row r="13" ht="44" customHeight="1">
      <x:c r="A13" s="60" t="str">
        <x:v>GD-HRSS-INST</x:v>
      </x:c>
      <x:c r="B13" s="60" t="str">
        <x:v>A</x:v>
      </x:c>
      <x:c r="C13" s="60" t="str">
        <x:v>广东省人社厅事业单位招聘公告</x:v>
      </x:c>
      <x:c r="D13" s="60" t="str">
        <x:v>广东省</x:v>
      </x:c>
      <x:c r="E13" s="60" t="str">
        <x:v>事业单位</x:v>
      </x:c>
      <x:c r="F13" s="60" t="str">
        <x:v>https://hrss.gd.gov.cn/zwgk/sydwzp/zpgg/</x:v>
      </x:c>
      <x:c r="G13" s="60" t="str">
        <x:v>是</x:v>
      </x:c>
      <x:c r="H13" s="60" t="str">
        <x:v>省级集中招聘和省属单位公告</x:v>
      </x:c>
      <x:c r="I13" s="60" t="str">
        <x:v>每日2次</x:v>
      </x:c>
      <x:c r="J13" s="60" t="str">
        <x:v>是</x:v>
      </x:c>
      <x:c r="K13" s="60" t="str">
        <x:v>是</x:v>
      </x:c>
      <x:c r="L13" s="60" t="str">
        <x:v>2026-08-09</x:v>
      </x:c>
      <x:c r="M13" s="60" t="str">
        <x:v>事业单位法定汇总基线</x:v>
      </x:c>
    </x:row>
    <x:row r="14" ht="44" customHeight="1">
      <x:c r="A14" s="60" t="str">
        <x:v>GD-RSKS</x:v>
      </x:c>
      <x:c r="B14" s="60" t="str">
        <x:v>A</x:v>
      </x:c>
      <x:c r="C14" s="60" t="str">
        <x:v>广东人事考试网</x:v>
      </x:c>
      <x:c r="D14" s="60" t="str">
        <x:v>广东省</x:v>
      </x:c>
      <x:c r="E14" s="60" t="str">
        <x:v>考试服务</x:v>
      </x:c>
      <x:c r="F14" s="60" t="str">
        <x:v>https://rsks.gd.gov.cn/</x:v>
      </x:c>
      <x:c r="G14" s="60" t="str">
        <x:v>是</x:v>
      </x:c>
      <x:c r="H14" s="60" t="str">
        <x:v>笔试安排、准考证、成绩及考务通知</x:v>
      </x:c>
      <x:c r="I14" s="60" t="str">
        <x:v>每日2次</x:v>
      </x:c>
      <x:c r="J14" s="60" t="str">
        <x:v>是</x:v>
      </x:c>
      <x:c r="K14" s="60" t="str">
        <x:v>是</x:v>
      </x:c>
      <x:c r="L14" s="60" t="str">
        <x:v>2026-08-09</x:v>
      </x:c>
      <x:c r="M14" s="60" t="str">
        <x:v>同时含专业资格考试，需关键词过滤</x:v>
      </x:c>
    </x:row>
    <x:row r="15" ht="44" customHeight="1">
      <x:c r="A15" s="60" t="str">
        <x:v>GD-CIVIL-SYSTEM</x:v>
      </x:c>
      <x:c r="B15" s="60" t="str">
        <x:v>A</x:v>
      </x:c>
      <x:c r="C15" s="60" t="str">
        <x:v>广东省公务员考试录用管理信息系统公告</x:v>
      </x:c>
      <x:c r="D15" s="60" t="str">
        <x:v>广东省</x:v>
      </x:c>
      <x:c r="E15" s="60" t="str">
        <x:v>公务员</x:v>
      </x:c>
      <x:c r="F15" s="60" t="str">
        <x:v>https://ggfw.hrss.gd.gov.cn/gwyks/anouns.do</x:v>
      </x:c>
      <x:c r="G15" s="60" t="str">
        <x:v>是</x:v>
      </x:c>
      <x:c r="H15" s="60" t="str">
        <x:v>报名、缴费确认、准考证和成绩查询入口</x:v>
      </x:c>
      <x:c r="I15" s="60" t="str">
        <x:v>每日2次</x:v>
      </x:c>
      <x:c r="J15" s="60" t="str">
        <x:v>是</x:v>
      </x:c>
      <x:c r="K15" s="60" t="str">
        <x:v>是</x:v>
      </x:c>
      <x:c r="L15" s="60" t="str">
        <x:v>2026-08-09</x:v>
      </x:c>
      <x:c r="M15" s="60" t="str">
        <x:v>登录操作不自动化</x:v>
      </x:c>
    </x:row>
    <x:row r="16" ht="44" customHeight="1">
      <x:c r="A16" s="60" t="str">
        <x:v>GD-SELECT-SYSTEM</x:v>
      </x:c>
      <x:c r="B16" s="60" t="str">
        <x:v>A</x:v>
      </x:c>
      <x:c r="C16" s="60" t="str">
        <x:v>广东省选调优秀大学毕业生系统公告</x:v>
      </x:c>
      <x:c r="D16" s="60" t="str">
        <x:v>广东省</x:v>
      </x:c>
      <x:c r="E16" s="60" t="str">
        <x:v>选调生</x:v>
      </x:c>
      <x:c r="F16" s="60" t="str">
        <x:v>https://ggfw.hrss.gd.gov.cn/yxks/anouns.do</x:v>
      </x:c>
      <x:c r="G16" s="60" t="str">
        <x:v>是</x:v>
      </x:c>
      <x:c r="H16" s="60" t="str">
        <x:v>选调生报名与考试公告</x:v>
      </x:c>
      <x:c r="I16" s="60" t="str">
        <x:v>每日2次</x:v>
      </x:c>
      <x:c r="J16" s="60" t="str">
        <x:v>是</x:v>
      </x:c>
      <x:c r="K16" s="60" t="str">
        <x:v>是</x:v>
      </x:c>
      <x:c r="L16" s="60" t="str">
        <x:v>2026-08-09</x:v>
      </x:c>
      <x:c r="M16" s="60" t="str">
        <x:v>登录操作不自动化</x:v>
      </x:c>
    </x:row>
    <x:row r="17" ht="44" customHeight="1">
      <x:c r="A17" s="60" t="str">
        <x:v>GD-INST-SYSTEM</x:v>
      </x:c>
      <x:c r="B17" s="60" t="str">
        <x:v>A</x:v>
      </x:c>
      <x:c r="C17" s="60" t="str">
        <x:v>广东省事业单位公开招聘信息管理系统</x:v>
      </x:c>
      <x:c r="D17" s="60" t="str">
        <x:v>广东省</x:v>
      </x:c>
      <x:c r="E17" s="60" t="str">
        <x:v>事业单位</x:v>
      </x:c>
      <x:c r="F17" s="60" t="str">
        <x:v>https://ggfw.hrss.gd.gov.cn/sydwbk/index.do</x:v>
      </x:c>
      <x:c r="G17" s="60" t="str">
        <x:v>是</x:v>
      </x:c>
      <x:c r="H17" s="60" t="str">
        <x:v>集中招聘报名、确认、准考证、成绩</x:v>
      </x:c>
      <x:c r="I17" s="60" t="str">
        <x:v>每日2次</x:v>
      </x:c>
      <x:c r="J17" s="60" t="str">
        <x:v>是</x:v>
      </x:c>
      <x:c r="K17" s="60" t="str">
        <x:v>人工</x:v>
      </x:c>
      <x:c r="L17" s="60" t="str">
        <x:v>2026-08-09</x:v>
      </x:c>
      <x:c r="M17" s="60" t="str">
        <x:v>登录型系统；保留为操作入口，不自动抓取</x:v>
      </x:c>
    </x:row>
    <x:row r="18" ht="44" customHeight="1">
      <x:c r="A18" s="60" t="str">
        <x:v>GD-PUBLIC-RECRUIT</x:v>
      </x:c>
      <x:c r="B18" s="60" t="str">
        <x:v>C</x:v>
      </x:c>
      <x:c r="C18" s="60" t="str">
        <x:v>广东公共求职招聘服务平台</x:v>
      </x:c>
      <x:c r="D18" s="60" t="str">
        <x:v>广东省</x:v>
      </x:c>
      <x:c r="E18" s="60" t="str">
        <x:v>企事业/国企补充</x:v>
      </x:c>
      <x:c r="F18" s="60" t="str">
        <x:v>https://ggfw.hrss.gd.gov.cn/recruitment/internet/main/</x:v>
      </x:c>
      <x:c r="G18" s="60" t="str">
        <x:v>是</x:v>
      </x:c>
      <x:c r="H18" s="60" t="str">
        <x:v>公共招聘岗位补漏</x:v>
      </x:c>
      <x:c r="I18" s="60" t="str">
        <x:v>每日</x:v>
      </x:c>
      <x:c r="J18" s="60" t="str">
        <x:v>是</x:v>
      </x:c>
      <x:c r="K18" s="60" t="str">
        <x:v>是</x:v>
      </x:c>
      <x:c r="L18" s="60" t="str">
        <x:v>2026-08-09</x:v>
      </x:c>
      <x:c r="M18" s="60" t="str">
        <x:v>岗位性质仍以招聘单位原文为准</x:v>
      </x:c>
    </x:row>
    <x:row r="19" ht="44" customHeight="1">
      <x:c r="A19" s="60" t="str">
        <x:v>GD-TALENT</x:v>
      </x:c>
      <x:c r="B19" s="60" t="str">
        <x:v>C</x:v>
      </x:c>
      <x:c r="C19" s="60" t="str">
        <x:v>广东人才网</x:v>
      </x:c>
      <x:c r="D19" s="60" t="str">
        <x:v>广东省</x:v>
      </x:c>
      <x:c r="E19" s="60" t="str">
        <x:v>国企/企事业补充</x:v>
      </x:c>
      <x:c r="F19" s="60" t="str">
        <x:v>https://www.gdrc.com/</x:v>
      </x:c>
      <x:c r="G19" s="60" t="str">
        <x:v>否</x:v>
      </x:c>
      <x:c r="H19" s="60" t="str">
        <x:v>省属国企平台线索</x:v>
      </x:c>
      <x:c r="I19" s="60" t="str">
        <x:v>每日</x:v>
      </x:c>
      <x:c r="J19" s="60" t="str">
        <x:v>是</x:v>
      </x:c>
      <x:c r="K19" s="60" t="str">
        <x:v>是</x:v>
      </x:c>
      <x:c r="L19" s="60" t="str">
        <x:v>2026-08-09</x:v>
      </x:c>
      <x:c r="M19" s="60" t="str">
        <x:v>省属国企广东省人才市场有限公司运营；不能替代政府或企业原文</x:v>
      </x:c>
    </x:row>
    <x:row r="20" ht="44" customHeight="1">
      <x:c r="A20" s="60" t="str">
        <x:v>GD-SASAC</x:v>
      </x:c>
      <x:c r="B20" s="60" t="str">
        <x:v>B</x:v>
      </x:c>
      <x:c r="C20" s="60" t="str">
        <x:v>广东省国资委</x:v>
      </x:c>
      <x:c r="D20" s="60" t="str">
        <x:v>广东省</x:v>
      </x:c>
      <x:c r="E20" s="60" t="str">
        <x:v>国企</x:v>
      </x:c>
      <x:c r="F20" s="60" t="str">
        <x:v>https://gzw.gd.gov.cn/</x:v>
      </x:c>
      <x:c r="G20" s="60" t="str">
        <x:v>是</x:v>
      </x:c>
      <x:c r="H20" s="60" t="str">
        <x:v>省属国企主管机关入口</x:v>
      </x:c>
      <x:c r="I20" s="60" t="str">
        <x:v>每日</x:v>
      </x:c>
      <x:c r="J20" s="60" t="str">
        <x:v>是</x:v>
      </x:c>
      <x:c r="K20" s="60" t="str">
        <x:v>是</x:v>
      </x:c>
      <x:c r="L20" s="60" t="str">
        <x:v>2026-08-09</x:v>
      </x:c>
      <x:c r="M20" s="60" t="str">
        <x:v>根入口，招聘通常需继续到监管企业官网核验</x:v>
      </x:c>
    </x:row>
    <x:row r="21" ht="44" customHeight="1">
      <x:c r="A21" s="60" t="str">
        <x:v>GZ-HRSS-CIVIL</x:v>
      </x:c>
      <x:c r="B21" s="60" t="str">
        <x:v>A</x:v>
      </x:c>
      <x:c r="C21" s="60" t="str">
        <x:v>广州市人社局公务员考录</x:v>
      </x:c>
      <x:c r="D21" s="60" t="str">
        <x:v>广州市</x:v>
      </x:c>
      <x:c r="E21" s="60" t="str">
        <x:v>公务员/选调生</x:v>
      </x:c>
      <x:c r="F21" s="60" t="str">
        <x:v>https://rsj.gz.gov.cn/ywzt/rszdgg/gwykl/</x:v>
      </x:c>
      <x:c r="G21" s="60" t="str">
        <x:v>是</x:v>
      </x:c>
      <x:c r="H21" s="60" t="str">
        <x:v>广州考区资格审核、体测、面试、体检与公示</x:v>
      </x:c>
      <x:c r="I21" s="60" t="str">
        <x:v>每日2次</x:v>
      </x:c>
      <x:c r="J21" s="60" t="str">
        <x:v>是</x:v>
      </x:c>
      <x:c r="K21" s="60" t="str">
        <x:v>是</x:v>
      </x:c>
      <x:c r="L21" s="60" t="str">
        <x:v>2026-08-09</x:v>
      </x:c>
      <x:c r="M21" s="60" t="str">
        <x:v>广州公务员后续主干</x:v>
      </x:c>
    </x:row>
    <x:row r="22" ht="44" customHeight="1">
      <x:c r="A22" s="60" t="str">
        <x:v>GZ-HRSS-INST</x:v>
      </x:c>
      <x:c r="B22" s="60" t="str">
        <x:v>A</x:v>
      </x:c>
      <x:c r="C22" s="60" t="str">
        <x:v>广州市人社局事业单位公开招聘</x:v>
      </x:c>
      <x:c r="D22" s="60" t="str">
        <x:v>广州市</x:v>
      </x:c>
      <x:c r="E22" s="60" t="str">
        <x:v>事业单位</x:v>
      </x:c>
      <x:c r="F22" s="60" t="str">
        <x:v>https://rsj.gz.gov.cn/ywzt/rszdgg/sydwgkzp/index.html</x:v>
      </x:c>
      <x:c r="G22" s="60" t="str">
        <x:v>是</x:v>
      </x:c>
      <x:c r="H22" s="60" t="str">
        <x:v>市属事业单位公告和结果总入口</x:v>
      </x:c>
      <x:c r="I22" s="60" t="str">
        <x:v>每日2次</x:v>
      </x:c>
      <x:c r="J22" s="60" t="str">
        <x:v>是</x:v>
      </x:c>
      <x:c r="K22" s="60" t="str">
        <x:v>是</x:v>
      </x:c>
      <x:c r="L22" s="60" t="str">
        <x:v>2026-08-09</x:v>
      </x:c>
      <x:c r="M22" s="60" t="str">
        <x:v>广州事业单位主干</x:v>
      </x:c>
    </x:row>
    <x:row r="23" ht="44" customHeight="1">
      <x:c r="A23" s="60" t="str">
        <x:v>GZ-HRSS-INST-NOTICES</x:v>
      </x:c>
      <x:c r="B23" s="60" t="str">
        <x:v>A</x:v>
      </x:c>
      <x:c r="C23" s="60" t="str">
        <x:v>广州市事业单位招聘公告专栏</x:v>
      </x:c>
      <x:c r="D23" s="60" t="str">
        <x:v>广州市</x:v>
      </x:c>
      <x:c r="E23" s="60" t="str">
        <x:v>事业单位</x:v>
      </x:c>
      <x:c r="F23" s="60" t="str">
        <x:v>https://rsj.gz.gov.cn/ywzt/rszdgg/sydwgkzp/sydwzpgg/</x:v>
      </x:c>
      <x:c r="G23" s="60" t="str">
        <x:v>是</x:v>
      </x:c>
      <x:c r="H23" s="60" t="str">
        <x:v>市属事业单位首发公告</x:v>
      </x:c>
      <x:c r="I23" s="60" t="str">
        <x:v>每日2次</x:v>
      </x:c>
      <x:c r="J23" s="60" t="str">
        <x:v>是</x:v>
      </x:c>
      <x:c r="K23" s="60" t="str">
        <x:v>是</x:v>
      </x:c>
      <x:c r="L23" s="60" t="str">
        <x:v>2026-08-09</x:v>
      </x:c>
      <x:c r="M23" s="60" t="str">
        <x:v>重点扫描新公告与更正</x:v>
      </x:c>
    </x:row>
    <x:row r="24" ht="44" customHeight="1">
      <x:c r="A24" s="60" t="str">
        <x:v>GZ-HRSS-INST-APPLY</x:v>
      </x:c>
      <x:c r="B24" s="60" t="str">
        <x:v>A</x:v>
      </x:c>
      <x:c r="C24" s="60" t="str">
        <x:v>广州市事业单位招聘网上报名</x:v>
      </x:c>
      <x:c r="D24" s="60" t="str">
        <x:v>广州市</x:v>
      </x:c>
      <x:c r="E24" s="60" t="str">
        <x:v>事业单位报名</x:v>
      </x:c>
      <x:c r="F24" s="60" t="str">
        <x:v>https://rsj.gz.gov.cn/ywzt/rszdgg/sydwgkzp/sydwzpwsbm/</x:v>
      </x:c>
      <x:c r="G24" s="60" t="str">
        <x:v>是</x:v>
      </x:c>
      <x:c r="H24" s="60" t="str">
        <x:v>市级自建报名入口与报名时间</x:v>
      </x:c>
      <x:c r="I24" s="60" t="str">
        <x:v>每日2次</x:v>
      </x:c>
      <x:c r="J24" s="60" t="str">
        <x:v>是</x:v>
      </x:c>
      <x:c r="K24" s="60" t="str">
        <x:v>是</x:v>
      </x:c>
      <x:c r="L24" s="60" t="str">
        <x:v>2026-08-09</x:v>
      </x:c>
      <x:c r="M24" s="60" t="str">
        <x:v>并非所有招聘都使用此入口</x:v>
      </x:c>
    </x:row>
    <x:row r="25" ht="44" customHeight="1">
      <x:c r="A25" s="60" t="str">
        <x:v>GZ-HRSS-NOTICES</x:v>
      </x:c>
      <x:c r="B25" s="60" t="str">
        <x:v>B</x:v>
      </x:c>
      <x:c r="C25" s="60" t="str">
        <x:v>广州市人社局通知公告</x:v>
      </x:c>
      <x:c r="D25" s="60" t="str">
        <x:v>广州市</x:v>
      </x:c>
      <x:c r="E25" s="60" t="str">
        <x:v>综合</x:v>
      </x:c>
      <x:c r="F25" s="60" t="str">
        <x:v>https://rsj.gz.gov.cn/zwdt/tzgg/</x:v>
      </x:c>
      <x:c r="G25" s="60" t="str">
        <x:v>是</x:v>
      </x:c>
      <x:c r="H25" s="60" t="str">
        <x:v>市人社局系统招聘后续与考务补漏</x:v>
      </x:c>
      <x:c r="I25" s="60" t="str">
        <x:v>每日2次</x:v>
      </x:c>
      <x:c r="J25" s="60" t="str">
        <x:v>是</x:v>
      </x:c>
      <x:c r="K25" s="60" t="str">
        <x:v>是</x:v>
      </x:c>
      <x:c r="L25" s="60" t="str">
        <x:v>2026-08-09</x:v>
      </x:c>
      <x:c r="M25" s="60" t="str">
        <x:v>关键词过滤采购类公告</x:v>
      </x:c>
    </x:row>
    <x:row r="26" ht="44" customHeight="1">
      <x:c r="A26" s="60" t="str">
        <x:v>GZ-EDU-HR</x:v>
      </x:c>
      <x:c r="B26" s="60" t="str">
        <x:v>B</x:v>
      </x:c>
      <x:c r="C26" s="60" t="str">
        <x:v>广州市教育局人事工作</x:v>
      </x:c>
      <x:c r="D26" s="60" t="str">
        <x:v>广州市</x:v>
      </x:c>
      <x:c r="E26" s="60" t="str">
        <x:v>事业编/教师</x:v>
      </x:c>
      <x:c r="F26" s="60" t="str">
        <x:v>https://jyj.gz.gov.cn/gk/zfxxgkml/qt/gs/rsgz/</x:v>
      </x:c>
      <x:c r="G26" s="60" t="str">
        <x:v>是</x:v>
      </x:c>
      <x:c r="H26" s="60" t="str">
        <x:v>市教育局直属事业单位教师招聘后续</x:v>
      </x:c>
      <x:c r="I26" s="60" t="str">
        <x:v>每日2次</x:v>
      </x:c>
      <x:c r="J26" s="60" t="str">
        <x:v>是</x:v>
      </x:c>
      <x:c r="K26" s="60" t="str">
        <x:v>是</x:v>
      </x:c>
      <x:c r="L26" s="60" t="str">
        <x:v>2026-08-09</x:v>
      </x:c>
      <x:c r="M26" s="60" t="str">
        <x:v>教师岗位重点源</x:v>
      </x:c>
    </x:row>
    <x:row r="27" ht="44" customHeight="1">
      <x:c r="A27" s="60" t="str">
        <x:v>GZ-HEALTH-NOTICES</x:v>
      </x:c>
      <x:c r="B27" s="60" t="str">
        <x:v>B</x:v>
      </x:c>
      <x:c r="C27" s="60" t="str">
        <x:v>广州市卫生健康委员会通知公告</x:v>
      </x:c>
      <x:c r="D27" s="60" t="str">
        <x:v>广州市</x:v>
      </x:c>
      <x:c r="E27" s="60" t="str">
        <x:v>事业编/医疗卫生</x:v>
      </x:c>
      <x:c r="F27" s="60" t="str">
        <x:v>https://wjw.gz.gov.cn/xxgk/tzgg/</x:v>
      </x:c>
      <x:c r="G27" s="60" t="str">
        <x:v>是</x:v>
      </x:c>
      <x:c r="H27" s="60" t="str">
        <x:v>市卫健系统招聘与后续</x:v>
      </x:c>
      <x:c r="I27" s="60" t="str">
        <x:v>每日2次</x:v>
      </x:c>
      <x:c r="J27" s="60" t="str">
        <x:v>是</x:v>
      </x:c>
      <x:c r="K27" s="60" t="str">
        <x:v>是</x:v>
      </x:c>
      <x:c r="L27" s="60" t="str">
        <x:v>2026-08-09</x:v>
      </x:c>
      <x:c r="M27" s="60" t="str">
        <x:v>排除考务采购与项目比选</x:v>
      </x:c>
    </x:row>
    <x:row r="28" ht="44" customHeight="1">
      <x:c r="A28" s="60" t="str">
        <x:v>GZ-SASAC-NOTICES</x:v>
      </x:c>
      <x:c r="B28" s="60" t="str">
        <x:v>B</x:v>
      </x:c>
      <x:c r="C28" s="60" t="str">
        <x:v>广州市国资委通知公告</x:v>
      </x:c>
      <x:c r="D28" s="60" t="str">
        <x:v>广州市</x:v>
      </x:c>
      <x:c r="E28" s="60" t="str">
        <x:v>国企/事业单位</x:v>
      </x:c>
      <x:c r="F28" s="60" t="str">
        <x:v>https://gzw.gz.gov.cn/xw/tzgg/</x:v>
      </x:c>
      <x:c r="G28" s="60" t="str">
        <x:v>是</x:v>
      </x:c>
      <x:c r="H28" s="60" t="str">
        <x:v>国资直属事业单位及市属国企线索</x:v>
      </x:c>
      <x:c r="I28" s="60" t="str">
        <x:v>每日</x:v>
      </x:c>
      <x:c r="J28" s="60" t="str">
        <x:v>是</x:v>
      </x:c>
      <x:c r="K28" s="60" t="str">
        <x:v>是</x:v>
      </x:c>
      <x:c r="L28" s="60" t="str">
        <x:v>2026-08-09</x:v>
      </x:c>
      <x:c r="M28" s="60" t="str">
        <x:v>国企岗位继续到企业官网原文核验</x:v>
      </x:c>
    </x:row>
    <x:row r="29" ht="44" customHeight="1">
      <x:c r="A29" s="60" t="str">
        <x:v>GZ-YUEXIU</x:v>
      </x:c>
      <x:c r="B29" s="60" t="str">
        <x:v>B</x:v>
      </x:c>
      <x:c r="C29" s="60" t="str">
        <x:v>越秀区公开招考招聘公告</x:v>
      </x:c>
      <x:c r="D29" s="60" t="str">
        <x:v>广州市越秀区</x:v>
      </x:c>
      <x:c r="E29" s="60" t="str">
        <x:v>综合招聘</x:v>
      </x:c>
      <x:c r="F29" s="60" t="str">
        <x:v>https://www.yuexiu.gov.cn/zwgk/rsxx/gkzkzp/zpgg/</x:v>
      </x:c>
      <x:c r="G29" s="60" t="str">
        <x:v>是</x:v>
      </x:c>
      <x:c r="H29" s="60" t="str">
        <x:v>区属事业编、编外、公务员后续</x:v>
      </x:c>
      <x:c r="I29" s="60" t="str">
        <x:v>每日2次</x:v>
      </x:c>
      <x:c r="J29" s="60" t="str">
        <x:v>是</x:v>
      </x:c>
      <x:c r="K29" s="60" t="str">
        <x:v>是</x:v>
      </x:c>
      <x:c r="L29" s="60" t="str">
        <x:v>2026-08-09</x:v>
      </x:c>
      <x:c r="M29" s="60" t="str">
        <x:v>广州11区之一</x:v>
      </x:c>
    </x:row>
    <x:row r="30" ht="44" customHeight="1">
      <x:c r="A30" s="60" t="str">
        <x:v>GZ-HAIZHU</x:v>
      </x:c>
      <x:c r="B30" s="60" t="str">
        <x:v>B</x:v>
      </x:c>
      <x:c r="C30" s="60" t="str">
        <x:v>海珠区招聘信息</x:v>
      </x:c>
      <x:c r="D30" s="60" t="str">
        <x:v>广州市海珠区</x:v>
      </x:c>
      <x:c r="E30" s="60" t="str">
        <x:v>综合招聘</x:v>
      </x:c>
      <x:c r="F30" s="60" t="str">
        <x:v>https://www.haizhu.gov.cn/hzdt/tzgg/zpxx/</x:v>
      </x:c>
      <x:c r="G30" s="60" t="str">
        <x:v>是</x:v>
      </x:c>
      <x:c r="H30" s="60" t="str">
        <x:v>区属事业编、编外、公务员后续</x:v>
      </x:c>
      <x:c r="I30" s="60" t="str">
        <x:v>每日2次</x:v>
      </x:c>
      <x:c r="J30" s="60" t="str">
        <x:v>是</x:v>
      </x:c>
      <x:c r="K30" s="60" t="str">
        <x:v>是</x:v>
      </x:c>
      <x:c r="L30" s="60" t="str">
        <x:v>2026-08-09</x:v>
      </x:c>
      <x:c r="M30" s="60" t="str">
        <x:v>广州11区之一</x:v>
      </x:c>
    </x:row>
    <x:row r="31" ht="44" customHeight="1">
      <x:c r="A31" s="60" t="str">
        <x:v>GZ-LIWAN</x:v>
      </x:c>
      <x:c r="B31" s="60" t="str">
        <x:v>B</x:v>
      </x:c>
      <x:c r="C31" s="60" t="str">
        <x:v>荔湾招聘</x:v>
      </x:c>
      <x:c r="D31" s="60" t="str">
        <x:v>广州市荔湾区</x:v>
      </x:c>
      <x:c r="E31" s="60" t="str">
        <x:v>综合招聘</x:v>
      </x:c>
      <x:c r="F31" s="60" t="str">
        <x:v>https://www.lw.gov.cn/ywdt/lwzp/index.html</x:v>
      </x:c>
      <x:c r="G31" s="60" t="str">
        <x:v>是</x:v>
      </x:c>
      <x:c r="H31" s="60" t="str">
        <x:v>区属事业编、编外、公务员后续</x:v>
      </x:c>
      <x:c r="I31" s="60" t="str">
        <x:v>每日2次</x:v>
      </x:c>
      <x:c r="J31" s="60" t="str">
        <x:v>是</x:v>
      </x:c>
      <x:c r="K31" s="60" t="str">
        <x:v>是</x:v>
      </x:c>
      <x:c r="L31" s="60" t="str">
        <x:v>2026-08-09</x:v>
      </x:c>
      <x:c r="M31" s="60" t="str">
        <x:v>广州11区之一</x:v>
      </x:c>
    </x:row>
    <x:row r="32" ht="44" customHeight="1">
      <x:c r="A32" s="60" t="str">
        <x:v>GZ-TIANHE</x:v>
      </x:c>
      <x:c r="B32" s="60" t="str">
        <x:v>B</x:v>
      </x:c>
      <x:c r="C32" s="60" t="str">
        <x:v>天河区人事招聘</x:v>
      </x:c>
      <x:c r="D32" s="60" t="str">
        <x:v>广州市天河区</x:v>
      </x:c>
      <x:c r="E32" s="60" t="str">
        <x:v>综合招聘</x:v>
      </x:c>
      <x:c r="F32" s="60" t="str">
        <x:v>https://www.thnet.gov.cn/thdt/tzgg/rsxx/rszp/</x:v>
      </x:c>
      <x:c r="G32" s="60" t="str">
        <x:v>是</x:v>
      </x:c>
      <x:c r="H32" s="60" t="str">
        <x:v>区属事业编、编外、公务员后续</x:v>
      </x:c>
      <x:c r="I32" s="60" t="str">
        <x:v>每日2次</x:v>
      </x:c>
      <x:c r="J32" s="60" t="str">
        <x:v>是</x:v>
      </x:c>
      <x:c r="K32" s="60" t="str">
        <x:v>是</x:v>
      </x:c>
      <x:c r="L32" s="60" t="str">
        <x:v>2026-08-09</x:v>
      </x:c>
      <x:c r="M32" s="60" t="str">
        <x:v>广州11区之一</x:v>
      </x:c>
    </x:row>
    <x:row r="33" ht="44" customHeight="1">
      <x:c r="A33" s="60" t="str">
        <x:v>GZ-BAIYUN</x:v>
      </x:c>
      <x:c r="B33" s="60" t="str">
        <x:v>B</x:v>
      </x:c>
      <x:c r="C33" s="60" t="str">
        <x:v>白云区招聘信息</x:v>
      </x:c>
      <x:c r="D33" s="60" t="str">
        <x:v>广州市白云区</x:v>
      </x:c>
      <x:c r="E33" s="60" t="str">
        <x:v>综合招聘</x:v>
      </x:c>
      <x:c r="F33" s="60" t="str">
        <x:v>https://www.by.gov.cn/zwgk/zdlyxxgkzl/jycyxxgkzl/zpxx/</x:v>
      </x:c>
      <x:c r="G33" s="60" t="str">
        <x:v>是</x:v>
      </x:c>
      <x:c r="H33" s="60" t="str">
        <x:v>区属事业编、编外、公务员后续</x:v>
      </x:c>
      <x:c r="I33" s="60" t="str">
        <x:v>每日2次</x:v>
      </x:c>
      <x:c r="J33" s="60" t="str">
        <x:v>是</x:v>
      </x:c>
      <x:c r="K33" s="60" t="str">
        <x:v>是</x:v>
      </x:c>
      <x:c r="L33" s="60" t="str">
        <x:v>2026-08-09</x:v>
      </x:c>
      <x:c r="M33" s="60" t="str">
        <x:v>广州11区之一</x:v>
      </x:c>
    </x:row>
    <x:row r="34" ht="44" customHeight="1">
      <x:c r="A34" s="60" t="str">
        <x:v>GZ-HUANGPU</x:v>
      </x:c>
      <x:c r="B34" s="60" t="str">
        <x:v>B</x:v>
      </x:c>
      <x:c r="C34" s="60" t="str">
        <x:v>黄埔区招聘公告</x:v>
      </x:c>
      <x:c r="D34" s="60" t="str">
        <x:v>广州市黄埔区</x:v>
      </x:c>
      <x:c r="E34" s="60" t="str">
        <x:v>综合招聘</x:v>
      </x:c>
      <x:c r="F34" s="60" t="str">
        <x:v>https://www.hp.gov.cn/xwzx/tzgg/zpgg/</x:v>
      </x:c>
      <x:c r="G34" s="60" t="str">
        <x:v>是</x:v>
      </x:c>
      <x:c r="H34" s="60" t="str">
        <x:v>区属事业编、编外、公务员后续</x:v>
      </x:c>
      <x:c r="I34" s="60" t="str">
        <x:v>每日2次</x:v>
      </x:c>
      <x:c r="J34" s="60" t="str">
        <x:v>是</x:v>
      </x:c>
      <x:c r="K34" s="60" t="str">
        <x:v>是</x:v>
      </x:c>
      <x:c r="L34" s="60" t="str">
        <x:v>2026-08-09</x:v>
      </x:c>
      <x:c r="M34" s="60" t="str">
        <x:v>广州11区之一，含广州开发区</x:v>
      </x:c>
    </x:row>
    <x:row r="35" ht="44" customHeight="1">
      <x:c r="A35" s="60" t="str">
        <x:v>GZ-PANYU</x:v>
      </x:c>
      <x:c r="B35" s="60" t="str">
        <x:v>B</x:v>
      </x:c>
      <x:c r="C35" s="60" t="str">
        <x:v>番禺区招考信息</x:v>
      </x:c>
      <x:c r="D35" s="60" t="str">
        <x:v>广州市番禺区</x:v>
      </x:c>
      <x:c r="E35" s="60" t="str">
        <x:v>综合招聘</x:v>
      </x:c>
      <x:c r="F35" s="60" t="str">
        <x:v>https://www.panyu.gov.cn/zwgk/rsgk/zkxx/</x:v>
      </x:c>
      <x:c r="G35" s="60" t="str">
        <x:v>是</x:v>
      </x:c>
      <x:c r="H35" s="60" t="str">
        <x:v>区属事业编、编外、公务员后续</x:v>
      </x:c>
      <x:c r="I35" s="60" t="str">
        <x:v>每日2次</x:v>
      </x:c>
      <x:c r="J35" s="60" t="str">
        <x:v>是</x:v>
      </x:c>
      <x:c r="K35" s="60" t="str">
        <x:v>是</x:v>
      </x:c>
      <x:c r="L35" s="60" t="str">
        <x:v>2026-08-09</x:v>
      </x:c>
      <x:c r="M35" s="60" t="str">
        <x:v>广州11区之一</x:v>
      </x:c>
    </x:row>
    <x:row r="36" ht="44" customHeight="1">
      <x:c r="A36" s="60" t="str">
        <x:v>GZ-HUADU</x:v>
      </x:c>
      <x:c r="B36" s="60" t="str">
        <x:v>B</x:v>
      </x:c>
      <x:c r="C36" s="60" t="str">
        <x:v>花都区招考公告</x:v>
      </x:c>
      <x:c r="D36" s="60" t="str">
        <x:v>广州市花都区</x:v>
      </x:c>
      <x:c r="E36" s="60" t="str">
        <x:v>综合招聘</x:v>
      </x:c>
      <x:c r="F36" s="60" t="str">
        <x:v>https://www.huadu.gov.cn/zwfw/jyly6/jyaz/</x:v>
      </x:c>
      <x:c r="G36" s="60" t="str">
        <x:v>是</x:v>
      </x:c>
      <x:c r="H36" s="60" t="str">
        <x:v>区属事业编、编外、公务员后续</x:v>
      </x:c>
      <x:c r="I36" s="60" t="str">
        <x:v>每日2次</x:v>
      </x:c>
      <x:c r="J36" s="60" t="str">
        <x:v>是</x:v>
      </x:c>
      <x:c r="K36" s="60" t="str">
        <x:v>是</x:v>
      </x:c>
      <x:c r="L36" s="60" t="str">
        <x:v>2026-08-09</x:v>
      </x:c>
      <x:c r="M36" s="60" t="str">
        <x:v>广州11区之一</x:v>
      </x:c>
    </x:row>
    <x:row r="37" ht="44" customHeight="1">
      <x:c r="A37" s="60" t="str">
        <x:v>GZ-NANSHA</x:v>
      </x:c>
      <x:c r="B37" s="60" t="str">
        <x:v>B</x:v>
      </x:c>
      <x:c r="C37" s="60" t="str">
        <x:v>南沙区招聘信息</x:v>
      </x:c>
      <x:c r="D37" s="60" t="str">
        <x:v>广州市南沙区</x:v>
      </x:c>
      <x:c r="E37" s="60" t="str">
        <x:v>综合招聘</x:v>
      </x:c>
      <x:c r="F37" s="60" t="str">
        <x:v>https://www.gzns.gov.cn/zwgk/zdlyxxgk/jycy/zpxx/</x:v>
      </x:c>
      <x:c r="G37" s="60" t="str">
        <x:v>是</x:v>
      </x:c>
      <x:c r="H37" s="60" t="str">
        <x:v>区属事业编、编外、公务员后续</x:v>
      </x:c>
      <x:c r="I37" s="60" t="str">
        <x:v>每日2次</x:v>
      </x:c>
      <x:c r="J37" s="60" t="str">
        <x:v>是</x:v>
      </x:c>
      <x:c r="K37" s="60" t="str">
        <x:v>是</x:v>
      </x:c>
      <x:c r="L37" s="60" t="str">
        <x:v>2026-08-09</x:v>
      </x:c>
      <x:c r="M37" s="60" t="str">
        <x:v>广州11区之一</x:v>
      </x:c>
    </x:row>
    <x:row r="38" ht="44" customHeight="1">
      <x:c r="A38" s="60" t="str">
        <x:v>GZ-CONGHUA</x:v>
      </x:c>
      <x:c r="B38" s="60" t="str">
        <x:v>B</x:v>
      </x:c>
      <x:c r="C38" s="60" t="str">
        <x:v>从化区企事业公开招聘</x:v>
      </x:c>
      <x:c r="D38" s="60" t="str">
        <x:v>广州市从化区</x:v>
      </x:c>
      <x:c r="E38" s="60" t="str">
        <x:v>综合招聘</x:v>
      </x:c>
      <x:c r="F38" s="60" t="str">
        <x:v>https://www.conghua.gov.cn/zwfw/ztfw/hycyqsygkzp/mindex.html</x:v>
      </x:c>
      <x:c r="G38" s="60" t="str">
        <x:v>是</x:v>
      </x:c>
      <x:c r="H38" s="60" t="str">
        <x:v>区属事业编、编外、公务员后续</x:v>
      </x:c>
      <x:c r="I38" s="60" t="str">
        <x:v>每日2次</x:v>
      </x:c>
      <x:c r="J38" s="60" t="str">
        <x:v>是</x:v>
      </x:c>
      <x:c r="K38" s="60" t="str">
        <x:v>是</x:v>
      </x:c>
      <x:c r="L38" s="60" t="str">
        <x:v>2026-08-09</x:v>
      </x:c>
      <x:c r="M38" s="60" t="str">
        <x:v>广州11区之一</x:v>
      </x:c>
    </x:row>
    <x:row r="39" ht="44" customHeight="1">
      <x:c r="A39" s="60" t="str">
        <x:v>GZ-ZENGCHENG</x:v>
      </x:c>
      <x:c r="B39" s="60" t="str">
        <x:v>B</x:v>
      </x:c>
      <x:c r="C39" s="60" t="str">
        <x:v>增城区事业单位招聘</x:v>
      </x:c>
      <x:c r="D39" s="60" t="str">
        <x:v>广州市增城区</x:v>
      </x:c>
      <x:c r="E39" s="60" t="str">
        <x:v>事业单位</x:v>
      </x:c>
      <x:c r="F39" s="60" t="str">
        <x:v>https://www.zc.gov.cn/gk/rsgz/dwzp/</x:v>
      </x:c>
      <x:c r="G39" s="60" t="str">
        <x:v>是</x:v>
      </x:c>
      <x:c r="H39" s="60" t="str">
        <x:v>区属事业编招聘全流程</x:v>
      </x:c>
      <x:c r="I39" s="60" t="str">
        <x:v>每日2次</x:v>
      </x:c>
      <x:c r="J39" s="60" t="str">
        <x:v>是</x:v>
      </x:c>
      <x:c r="K39" s="60" t="str">
        <x:v>是</x:v>
      </x:c>
      <x:c r="L39" s="60" t="str">
        <x:v>2026-08-09</x:v>
      </x:c>
      <x:c r="M39" s="60" t="str">
        <x:v>广州11区之一</x:v>
      </x:c>
    </x:row>
    <x:row r="40" ht="44" customHeight="1">
      <x:c r="A40" s="60" t="str">
        <x:v>GD-INST-PUBLISH</x:v>
      </x:c>
      <x:c r="B40" s="60" t="str">
        <x:v>A</x:v>
      </x:c>
      <x:c r="C40" s="60" t="str">
        <x:v>广东省事业单位公开招聘信息管理系统（公告发布）</x:v>
      </x:c>
      <x:c r="D40" s="60" t="str">
        <x:v>广东省</x:v>
      </x:c>
      <x:c r="E40" s="60" t="str">
        <x:v>事业单位</x:v>
      </x:c>
      <x:c r="F40" s="60" t="str">
        <x:v>https://ggfw.hrss.gd.gov.cn/sydwzp/</x:v>
      </x:c>
      <x:c r="G40" s="60" t="str">
        <x:v>是</x:v>
      </x:c>
      <x:c r="H40" s="60" t="str">
        <x:v>全省事业单位公告、补充公告和公示的发布平台</x:v>
      </x:c>
      <x:c r="I40" s="60" t="str">
        <x:v>每日2次</x:v>
      </x:c>
      <x:c r="J40" s="60" t="str">
        <x:v>是</x:v>
      </x:c>
      <x:c r="K40" s="60" t="str">
        <x:v>是</x:v>
      </x:c>
      <x:c r="L40" s="60" t="str">
        <x:v>2026-08-09</x:v>
      </x:c>
      <x:c r="M40" s="60" t="str">
        <x:v>与考生报名入口分开记录；用于全省法定汇总补漏</x:v>
      </x:c>
    </x:row>
    <x:row r="41" ht="44" customHeight="1">
      <x:c r="A41" s="60" t="str">
        <x:v>GD-CITY-SHENZHEN</x:v>
      </x:c>
      <x:c r="B41" s="60" t="str">
        <x:v>B</x:v>
      </x:c>
      <x:c r="C41" s="60" t="str">
        <x:v>深圳市人社局公职人员招考</x:v>
      </x:c>
      <x:c r="D41" s="60" t="str">
        <x:v>深圳市</x:v>
      </x:c>
      <x:c r="E41" s="60" t="str">
        <x:v>公务员/事业单位</x:v>
      </x:c>
      <x:c r="F41" s="60" t="str">
        <x:v>https://hrss.sz.gov.cn/gzryzk/index.html</x:v>
      </x:c>
      <x:c r="G41" s="60" t="str">
        <x:v>是</x:v>
      </x:c>
      <x:c r="H41" s="60" t="str">
        <x:v>深圳市属及各区公职人员招考后续</x:v>
      </x:c>
      <x:c r="I41" s="60" t="str">
        <x:v>每日</x:v>
      </x:c>
      <x:c r="J41" s="60" t="str">
        <x:v>是</x:v>
      </x:c>
      <x:c r="K41" s="60" t="str">
        <x:v>是</x:v>
      </x:c>
      <x:c r="L41" s="60" t="str">
        <x:v>2026-08-09</x:v>
      </x:c>
      <x:c r="M41" s="60" t="str">
        <x:v>广东21个地级市覆盖层之一</x:v>
      </x:c>
    </x:row>
    <x:row r="42" ht="44" customHeight="1">
      <x:c r="A42" s="60" t="str">
        <x:v>GD-CITY-ZHUHAI</x:v>
      </x:c>
      <x:c r="B42" s="60" t="str">
        <x:v>B</x:v>
      </x:c>
      <x:c r="C42" s="60" t="str">
        <x:v>珠海市人社局公职招考</x:v>
      </x:c>
      <x:c r="D42" s="60" t="str">
        <x:v>珠海市</x:v>
      </x:c>
      <x:c r="E42" s="60" t="str">
        <x:v>公务员/事业单位/编外</x:v>
      </x:c>
      <x:c r="F42" s="60" t="str">
        <x:v>https://zhrsj.zhuhai.gov.cn/zw/tzgg/gzzk/</x:v>
      </x:c>
      <x:c r="G42" s="60" t="str">
        <x:v>是</x:v>
      </x:c>
      <x:c r="H42" s="60" t="str">
        <x:v>珠海市公职招考、合同制职员及后续公示</x:v>
      </x:c>
      <x:c r="I42" s="60" t="str">
        <x:v>每日</x:v>
      </x:c>
      <x:c r="J42" s="60" t="str">
        <x:v>是</x:v>
      </x:c>
      <x:c r="K42" s="60" t="str">
        <x:v>是</x:v>
      </x:c>
      <x:c r="L42" s="60" t="str">
        <x:v>2026-08-09</x:v>
      </x:c>
      <x:c r="M42" s="60" t="str">
        <x:v>广东21个地级市覆盖层之一</x:v>
      </x:c>
    </x:row>
    <x:row r="43" ht="44" customHeight="1">
      <x:c r="A43" s="60" t="str">
        <x:v>GD-CITY-SHANTOU</x:v>
      </x:c>
      <x:c r="B43" s="60" t="str">
        <x:v>B</x:v>
      </x:c>
      <x:c r="C43" s="60" t="str">
        <x:v>汕头市人社局事业单位招聘信息</x:v>
      </x:c>
      <x:c r="D43" s="60" t="str">
        <x:v>汕头市</x:v>
      </x:c>
      <x:c r="E43" s="60" t="str">
        <x:v>事业单位</x:v>
      </x:c>
      <x:c r="F43" s="60" t="str">
        <x:v>https://www.shantou.gov.cn/stsrlzyhshbzj/ztzl/sydwrsgl/zpxx/index.html</x:v>
      </x:c>
      <x:c r="G43" s="60" t="str">
        <x:v>是</x:v>
      </x:c>
      <x:c r="H43" s="60" t="str">
        <x:v>汕头事业单位招聘与后续公示</x:v>
      </x:c>
      <x:c r="I43" s="60" t="str">
        <x:v>每日</x:v>
      </x:c>
      <x:c r="J43" s="60" t="str">
        <x:v>是</x:v>
      </x:c>
      <x:c r="K43" s="60" t="str">
        <x:v>是</x:v>
      </x:c>
      <x:c r="L43" s="60" t="str">
        <x:v>2026-08-09</x:v>
      </x:c>
      <x:c r="M43" s="60" t="str">
        <x:v>广东21个地级市覆盖层之一</x:v>
      </x:c>
    </x:row>
    <x:row r="44" ht="44" customHeight="1">
      <x:c r="A44" s="60" t="str">
        <x:v>GD-CITY-FOSHAN</x:v>
      </x:c>
      <x:c r="B44" s="60" t="str">
        <x:v>B</x:v>
      </x:c>
      <x:c r="C44" s="60" t="str">
        <x:v>佛山市人社局机关事业单位招录</x:v>
      </x:c>
      <x:c r="D44" s="60" t="str">
        <x:v>佛山市</x:v>
      </x:c>
      <x:c r="E44" s="60" t="str">
        <x:v>公务员/事业单位/编外</x:v>
      </x:c>
      <x:c r="F44" s="60" t="str">
        <x:v>https://hrss.foshan.gov.cn/zwgk/jgsydwzl/index.html</x:v>
      </x:c>
      <x:c r="G44" s="60" t="str">
        <x:v>是</x:v>
      </x:c>
      <x:c r="H44" s="60" t="str">
        <x:v>佛山市机关事业单位招录及后续</x:v>
      </x:c>
      <x:c r="I44" s="60" t="str">
        <x:v>每日</x:v>
      </x:c>
      <x:c r="J44" s="60" t="str">
        <x:v>是</x:v>
      </x:c>
      <x:c r="K44" s="60" t="str">
        <x:v>是</x:v>
      </x:c>
      <x:c r="L44" s="60" t="str">
        <x:v>2026-08-09</x:v>
      </x:c>
      <x:c r="M44" s="60" t="str">
        <x:v>广东21个地级市覆盖层之一</x:v>
      </x:c>
    </x:row>
    <x:row r="45" ht="44" customHeight="1">
      <x:c r="A45" s="60" t="str">
        <x:v>GD-CITY-SHAOGUAN</x:v>
      </x:c>
      <x:c r="B45" s="60" t="str">
        <x:v>B</x:v>
      </x:c>
      <x:c r="C45" s="60" t="str">
        <x:v>韶关市人社局事业单位人事</x:v>
      </x:c>
      <x:c r="D45" s="60" t="str">
        <x:v>韶关市</x:v>
      </x:c>
      <x:c r="E45" s="60" t="str">
        <x:v>事业单位</x:v>
      </x:c>
      <x:c r="F45" s="60" t="str">
        <x:v>https://rsj.sg.gov.cn/ywzt/rsrc/sydw/</x:v>
      </x:c>
      <x:c r="G45" s="60" t="str">
        <x:v>是</x:v>
      </x:c>
      <x:c r="H45" s="60" t="str">
        <x:v>韶关市直及所属事业单位招聘后续</x:v>
      </x:c>
      <x:c r="I45" s="60" t="str">
        <x:v>每日</x:v>
      </x:c>
      <x:c r="J45" s="60" t="str">
        <x:v>是</x:v>
      </x:c>
      <x:c r="K45" s="60" t="str">
        <x:v>是</x:v>
      </x:c>
      <x:c r="L45" s="60" t="str">
        <x:v>2026-08-09</x:v>
      </x:c>
      <x:c r="M45" s="60" t="str">
        <x:v>广东21个地级市覆盖层之一</x:v>
      </x:c>
    </x:row>
    <x:row r="46" ht="44" customHeight="1">
      <x:c r="A46" s="60" t="str">
        <x:v>GD-CITY-HEYUAN</x:v>
      </x:c>
      <x:c r="B46" s="60" t="str">
        <x:v>B</x:v>
      </x:c>
      <x:c r="C46" s="60" t="str">
        <x:v>河源市人社局公告公示</x:v>
      </x:c>
      <x:c r="D46" s="60" t="str">
        <x:v>河源市</x:v>
      </x:c>
      <x:c r="E46" s="60" t="str">
        <x:v>公务员/事业单位/编外</x:v>
      </x:c>
      <x:c r="F46" s="60" t="str">
        <x:v>http://www.heyuan.gov.cn/bmjy/hysrlzyhshbzj/gggs/</x:v>
      </x:c>
      <x:c r="G46" s="60" t="str">
        <x:v>是</x:v>
      </x:c>
      <x:c r="H46" s="60" t="str">
        <x:v>河源市事业单位招聘、考务及公示</x:v>
      </x:c>
      <x:c r="I46" s="60" t="str">
        <x:v>每日</x:v>
      </x:c>
      <x:c r="J46" s="60" t="str">
        <x:v>是</x:v>
      </x:c>
      <x:c r="K46" s="60" t="str">
        <x:v>是</x:v>
      </x:c>
      <x:c r="L46" s="60" t="str">
        <x:v>2026-08-09</x:v>
      </x:c>
      <x:c r="M46" s="60" t="str">
        <x:v>官方 HTTPS 当前连接异常，监控暂用官方 HTTP 入口</x:v>
      </x:c>
    </x:row>
    <x:row r="47" ht="44" customHeight="1">
      <x:c r="A47" s="60" t="str">
        <x:v>GD-CITY-MEIZHOU</x:v>
      </x:c>
      <x:c r="B47" s="60" t="str">
        <x:v>B</x:v>
      </x:c>
      <x:c r="C47" s="60" t="str">
        <x:v>梅州市人社局通知公告</x:v>
      </x:c>
      <x:c r="D47" s="60" t="str">
        <x:v>梅州市</x:v>
      </x:c>
      <x:c r="E47" s="60" t="str">
        <x:v>公务员/事业单位/编外</x:v>
      </x:c>
      <x:c r="F47" s="60" t="str">
        <x:v>https://www.meizhou.gov.cn/zwgk/zfjg/srlzyhshbzj/xwzx/tzgg/</x:v>
      </x:c>
      <x:c r="G47" s="60" t="str">
        <x:v>是</x:v>
      </x:c>
      <x:c r="H47" s="60" t="str">
        <x:v>梅州市招聘公告与公示</x:v>
      </x:c>
      <x:c r="I47" s="60" t="str">
        <x:v>每日人工</x:v>
      </x:c>
      <x:c r="J47" s="60" t="str">
        <x:v>是</x:v>
      </x:c>
      <x:c r="K47" s="60" t="str">
        <x:v>人工</x:v>
      </x:c>
      <x:c r="L47" s="60" t="str">
        <x:v>2026-08-09</x:v>
      </x:c>
      <x:c r="M47" s="60" t="str">
        <x:v>站点边缘防护对自动访问返回521；每日报告列为人工补查，不得视为无公告</x:v>
      </x:c>
    </x:row>
    <x:row r="48" ht="44" customHeight="1">
      <x:c r="A48" s="60" t="str">
        <x:v>GD-CITY-HUIZHOU</x:v>
      </x:c>
      <x:c r="B48" s="60" t="str">
        <x:v>B</x:v>
      </x:c>
      <x:c r="C48" s="60" t="str">
        <x:v>惠州市人社局通知公告</x:v>
      </x:c>
      <x:c r="D48" s="60" t="str">
        <x:v>惠州市</x:v>
      </x:c>
      <x:c r="E48" s="60" t="str">
        <x:v>公务员/事业单位/编外</x:v>
      </x:c>
      <x:c r="F48" s="60" t="str">
        <x:v>https://rsj.huizhou.gov.cn/zwgk/tzgg/index.html</x:v>
      </x:c>
      <x:c r="G48" s="60" t="str">
        <x:v>是</x:v>
      </x:c>
      <x:c r="H48" s="60" t="str">
        <x:v>惠州市招聘公告、考务与公示</x:v>
      </x:c>
      <x:c r="I48" s="60" t="str">
        <x:v>每日</x:v>
      </x:c>
      <x:c r="J48" s="60" t="str">
        <x:v>是</x:v>
      </x:c>
      <x:c r="K48" s="60" t="str">
        <x:v>是</x:v>
      </x:c>
      <x:c r="L48" s="60" t="str">
        <x:v>2026-08-09</x:v>
      </x:c>
      <x:c r="M48" s="60" t="str">
        <x:v>广东21个地级市覆盖层之一</x:v>
      </x:c>
    </x:row>
    <x:row r="49" ht="44" customHeight="1">
      <x:c r="A49" s="60" t="str">
        <x:v>GD-CITY-SHANWEI</x:v>
      </x:c>
      <x:c r="B49" s="60" t="str">
        <x:v>B</x:v>
      </x:c>
      <x:c r="C49" s="60" t="str">
        <x:v>汕尾市人社局事业单位招聘</x:v>
      </x:c>
      <x:c r="D49" s="60" t="str">
        <x:v>汕尾市</x:v>
      </x:c>
      <x:c r="E49" s="60" t="str">
        <x:v>事业单位</x:v>
      </x:c>
      <x:c r="F49" s="60" t="str">
        <x:v>https://www.shanwei.gov.cn/swrsj/ztzl/rsks/sydwzp/index.html</x:v>
      </x:c>
      <x:c r="G49" s="60" t="str">
        <x:v>是</x:v>
      </x:c>
      <x:c r="H49" s="60" t="str">
        <x:v>汕尾事业单位招聘与后续公示</x:v>
      </x:c>
      <x:c r="I49" s="60" t="str">
        <x:v>每日</x:v>
      </x:c>
      <x:c r="J49" s="60" t="str">
        <x:v>是</x:v>
      </x:c>
      <x:c r="K49" s="60" t="str">
        <x:v>是</x:v>
      </x:c>
      <x:c r="L49" s="60" t="str">
        <x:v>2026-08-09</x:v>
      </x:c>
      <x:c r="M49" s="60" t="str">
        <x:v>广东21个地级市覆盖层之一</x:v>
      </x:c>
    </x:row>
    <x:row r="50" ht="44" customHeight="1">
      <x:c r="A50" s="60" t="str">
        <x:v>GD-CITY-DONGGUAN</x:v>
      </x:c>
      <x:c r="B50" s="60" t="str">
        <x:v>B</x:v>
      </x:c>
      <x:c r="C50" s="60" t="str">
        <x:v>东莞市人社局公开招聘</x:v>
      </x:c>
      <x:c r="D50" s="60" t="str">
        <x:v>东莞市</x:v>
      </x:c>
      <x:c r="E50" s="60" t="str">
        <x:v>事业单位/编外</x:v>
      </x:c>
      <x:c r="F50" s="60" t="str">
        <x:v>https://dghrss.dg.gov.cn/xwzx/gsgg/gkzp/index.html</x:v>
      </x:c>
      <x:c r="G50" s="60" t="str">
        <x:v>是</x:v>
      </x:c>
      <x:c r="H50" s="60" t="str">
        <x:v>东莞事业单位、聘员招聘及后续公示</x:v>
      </x:c>
      <x:c r="I50" s="60" t="str">
        <x:v>每日</x:v>
      </x:c>
      <x:c r="J50" s="60" t="str">
        <x:v>是</x:v>
      </x:c>
      <x:c r="K50" s="60" t="str">
        <x:v>是</x:v>
      </x:c>
      <x:c r="L50" s="60" t="str">
        <x:v>2026-08-09</x:v>
      </x:c>
      <x:c r="M50" s="60" t="str">
        <x:v>广东21个地级市覆盖层之一</x:v>
      </x:c>
    </x:row>
    <x:row r="51" ht="44" customHeight="1">
      <x:c r="A51" s="60" t="str">
        <x:v>GD-CITY-ZHONGSHAN</x:v>
      </x:c>
      <x:c r="B51" s="60" t="str">
        <x:v>B</x:v>
      </x:c>
      <x:c r="C51" s="60" t="str">
        <x:v>中山市人社局事业单位公开招聘</x:v>
      </x:c>
      <x:c r="D51" s="60" t="str">
        <x:v>中山市</x:v>
      </x:c>
      <x:c r="E51" s="60" t="str">
        <x:v>事业单位</x:v>
      </x:c>
      <x:c r="F51" s="60" t="str">
        <x:v>https://hrss.zs.gov.cn/xxgk/rsxx/sydwgkzp/</x:v>
      </x:c>
      <x:c r="G51" s="60" t="str">
        <x:v>是</x:v>
      </x:c>
      <x:c r="H51" s="60" t="str">
        <x:v>中山市镇街及市属事业单位招聘全流程</x:v>
      </x:c>
      <x:c r="I51" s="60" t="str">
        <x:v>每日</x:v>
      </x:c>
      <x:c r="J51" s="60" t="str">
        <x:v>是</x:v>
      </x:c>
      <x:c r="K51" s="60" t="str">
        <x:v>是</x:v>
      </x:c>
      <x:c r="L51" s="60" t="str">
        <x:v>2026-08-09</x:v>
      </x:c>
      <x:c r="M51" s="60" t="str">
        <x:v>广东21个地级市覆盖层之一</x:v>
      </x:c>
    </x:row>
    <x:row r="52" ht="44" customHeight="1">
      <x:c r="A52" s="60" t="str">
        <x:v>GD-CITY-JIANGMEN</x:v>
      </x:c>
      <x:c r="B52" s="60" t="str">
        <x:v>B</x:v>
      </x:c>
      <x:c r="C52" s="60" t="str">
        <x:v>江门市人社局事业单位公开招聘</x:v>
      </x:c>
      <x:c r="D52" s="60" t="str">
        <x:v>江门市</x:v>
      </x:c>
      <x:c r="E52" s="60" t="str">
        <x:v>公务员/事业单位/编外</x:v>
      </x:c>
      <x:c r="F52" s="60" t="str">
        <x:v>https://www.jiangmen.gov.cn/bmpd/jmsrlzyhshbzj/sylm/rsks/syks/</x:v>
      </x:c>
      <x:c r="G52" s="60" t="str">
        <x:v>是</x:v>
      </x:c>
      <x:c r="H52" s="60" t="str">
        <x:v>江门事业单位招聘及公务员考区后续</x:v>
      </x:c>
      <x:c r="I52" s="60" t="str">
        <x:v>每日</x:v>
      </x:c>
      <x:c r="J52" s="60" t="str">
        <x:v>是</x:v>
      </x:c>
      <x:c r="K52" s="60" t="str">
        <x:v>是</x:v>
      </x:c>
      <x:c r="L52" s="60" t="str">
        <x:v>2026-08-09</x:v>
      </x:c>
      <x:c r="M52" s="60" t="str">
        <x:v>广东21个地级市覆盖层之一</x:v>
      </x:c>
    </x:row>
    <x:row r="53" ht="44" customHeight="1">
      <x:c r="A53" s="60" t="str">
        <x:v>GD-CITY-YANGJIANG</x:v>
      </x:c>
      <x:c r="B53" s="60" t="str">
        <x:v>B</x:v>
      </x:c>
      <x:c r="C53" s="60" t="str">
        <x:v>阳江市人社局政府信息公开平台</x:v>
      </x:c>
      <x:c r="D53" s="60" t="str">
        <x:v>阳江市</x:v>
      </x:c>
      <x:c r="E53" s="60" t="str">
        <x:v>公务员/事业单位/编外</x:v>
      </x:c>
      <x:c r="F53" s="60" t="str">
        <x:v>http://www.yangjiang.gov.cn/yjrsj/gkmlpt/index</x:v>
      </x:c>
      <x:c r="G53" s="60" t="str">
        <x:v>是</x:v>
      </x:c>
      <x:c r="H53" s="60" t="str">
        <x:v>阳江市事业单位招聘、考务及公示</x:v>
      </x:c>
      <x:c r="I53" s="60" t="str">
        <x:v>每日</x:v>
      </x:c>
      <x:c r="J53" s="60" t="str">
        <x:v>是</x:v>
      </x:c>
      <x:c r="K53" s="60" t="str">
        <x:v>是</x:v>
      </x:c>
      <x:c r="L53" s="60" t="str">
        <x:v>2026-08-09</x:v>
      </x:c>
      <x:c r="M53" s="60" t="str">
        <x:v>官方公告指定入口；当前使用其公开 HTTP 地址</x:v>
      </x:c>
    </x:row>
    <x:row r="54" ht="44" customHeight="1">
      <x:c r="A54" s="60" t="str">
        <x:v>GD-CITY-ZHANJIANG</x:v>
      </x:c>
      <x:c r="B54" s="60" t="str">
        <x:v>B</x:v>
      </x:c>
      <x:c r="C54" s="60" t="str">
        <x:v>湛江市人社局通知公告</x:v>
      </x:c>
      <x:c r="D54" s="60" t="str">
        <x:v>湛江市</x:v>
      </x:c>
      <x:c r="E54" s="60" t="str">
        <x:v>公务员/事业单位/国企</x:v>
      </x:c>
      <x:c r="F54" s="60" t="str">
        <x:v>https://www.zhanjiang.gov.cn/zjsfw/bmdh/rsj/zwgk/tzgg/</x:v>
      </x:c>
      <x:c r="G54" s="60" t="str">
        <x:v>是</x:v>
      </x:c>
      <x:c r="H54" s="60" t="str">
        <x:v>湛江市事业单位、市属国企招聘与后续</x:v>
      </x:c>
      <x:c r="I54" s="60" t="str">
        <x:v>每日</x:v>
      </x:c>
      <x:c r="J54" s="60" t="str">
        <x:v>是</x:v>
      </x:c>
      <x:c r="K54" s="60" t="str">
        <x:v>是</x:v>
      </x:c>
      <x:c r="L54" s="60" t="str">
        <x:v>2026-08-09</x:v>
      </x:c>
      <x:c r="M54" s="60" t="str">
        <x:v>广东21个地级市覆盖层之一</x:v>
      </x:c>
    </x:row>
    <x:row r="55" ht="44" customHeight="1">
      <x:c r="A55" s="60" t="str">
        <x:v>GD-CITY-MAOMING</x:v>
      </x:c>
      <x:c r="B55" s="60" t="str">
        <x:v>B</x:v>
      </x:c>
      <x:c r="C55" s="60" t="str">
        <x:v>茂名市人社局</x:v>
      </x:c>
      <x:c r="D55" s="60" t="str">
        <x:v>茂名市</x:v>
      </x:c>
      <x:c r="E55" s="60" t="str">
        <x:v>公务员/事业单位/编外</x:v>
      </x:c>
      <x:c r="F55" s="60" t="str">
        <x:v>http://mmrs.maoming.gov.cn/</x:v>
      </x:c>
      <x:c r="G55" s="60" t="str">
        <x:v>是</x:v>
      </x:c>
      <x:c r="H55" s="60" t="str">
        <x:v>茂名市招聘公告、考务和公示入口</x:v>
      </x:c>
      <x:c r="I55" s="60" t="str">
        <x:v>每日</x:v>
      </x:c>
      <x:c r="J55" s="60" t="str">
        <x:v>是</x:v>
      </x:c>
      <x:c r="K55" s="60" t="str">
        <x:v>是</x:v>
      </x:c>
      <x:c r="L55" s="60" t="str">
        <x:v>2026-08-09</x:v>
      </x:c>
      <x:c r="M55" s="60" t="str">
        <x:v>招聘栏目可能改版，月度审计时检查深层链接</x:v>
      </x:c>
    </x:row>
    <x:row r="56" ht="44" customHeight="1">
      <x:c r="A56" s="60" t="str">
        <x:v>GD-CITY-ZHAOQING</x:v>
      </x:c>
      <x:c r="B56" s="60" t="str">
        <x:v>B</x:v>
      </x:c>
      <x:c r="C56" s="60" t="str">
        <x:v>肇庆市人社局政府信息公开平台</x:v>
      </x:c>
      <x:c r="D56" s="60" t="str">
        <x:v>肇庆市</x:v>
      </x:c>
      <x:c r="E56" s="60" t="str">
        <x:v>公务员/事业单位/编外</x:v>
      </x:c>
      <x:c r="F56" s="60" t="str">
        <x:v>https://www.zhaoqing.gov.cn/zqrsj/gkmlpt/index</x:v>
      </x:c>
      <x:c r="G56" s="60" t="str">
        <x:v>是</x:v>
      </x:c>
      <x:c r="H56" s="60" t="str">
        <x:v>肇庆市招聘公告、考务和公示入口</x:v>
      </x:c>
      <x:c r="I56" s="60" t="str">
        <x:v>每日</x:v>
      </x:c>
      <x:c r="J56" s="60" t="str">
        <x:v>是</x:v>
      </x:c>
      <x:c r="K56" s="60" t="str">
        <x:v>是</x:v>
      </x:c>
      <x:c r="L56" s="60" t="str">
        <x:v>2026-08-09</x:v>
      </x:c>
      <x:c r="M56" s="60" t="str">
        <x:v>广东21个地级市覆盖层之一</x:v>
      </x:c>
    </x:row>
    <x:row r="57" ht="44" customHeight="1">
      <x:c r="A57" s="60" t="str">
        <x:v>GD-CITY-QINGYUAN</x:v>
      </x:c>
      <x:c r="B57" s="60" t="str">
        <x:v>B</x:v>
      </x:c>
      <x:c r="C57" s="60" t="str">
        <x:v>清远市人社局招聘信息入口</x:v>
      </x:c>
      <x:c r="D57" s="60" t="str">
        <x:v>清远市</x:v>
      </x:c>
      <x:c r="E57" s="60" t="str">
        <x:v>公务员/事业单位/编外</x:v>
      </x:c>
      <x:c r="F57" s="60" t="str">
        <x:v>https://www.gdqy.gov.cn/xxgk/zzjg/zfjg/srlzyhshbz/zdly/jycyxxgk/gzdt/</x:v>
      </x:c>
      <x:c r="G57" s="60" t="str">
        <x:v>是</x:v>
      </x:c>
      <x:c r="H57" s="60" t="str">
        <x:v>清远市招聘信息及各县区后续入口</x:v>
      </x:c>
      <x:c r="I57" s="60" t="str">
        <x:v>每日人工</x:v>
      </x:c>
      <x:c r="J57" s="60" t="str">
        <x:v>是</x:v>
      </x:c>
      <x:c r="K57" s="60" t="str">
        <x:v>人工</x:v>
      </x:c>
      <x:c r="L57" s="60" t="str">
        <x:v>2026-08-09</x:v>
      </x:c>
      <x:c r="M57" s="60" t="str">
        <x:v>站点对通用自动客户端返回405/412；每日人工补查并继续关注各县区公告</x:v>
      </x:c>
    </x:row>
    <x:row r="58" ht="44" customHeight="1">
      <x:c r="A58" s="60" t="str">
        <x:v>GD-CITY-CHAOZHOU</x:v>
      </x:c>
      <x:c r="B58" s="60" t="str">
        <x:v>B</x:v>
      </x:c>
      <x:c r="C58" s="60" t="str">
        <x:v>潮州市人社局通知公告</x:v>
      </x:c>
      <x:c r="D58" s="60" t="str">
        <x:v>潮州市</x:v>
      </x:c>
      <x:c r="E58" s="60" t="str">
        <x:v>公务员/事业单位/编外</x:v>
      </x:c>
      <x:c r="F58" s="60" t="str">
        <x:v>https://www.chaozhou.gov.cn/zwgk/szfgz/srlzy/tzgg/</x:v>
      </x:c>
      <x:c r="G58" s="60" t="str">
        <x:v>是</x:v>
      </x:c>
      <x:c r="H58" s="60" t="str">
        <x:v>潮州市招聘公告、考务和公示</x:v>
      </x:c>
      <x:c r="I58" s="60" t="str">
        <x:v>每日</x:v>
      </x:c>
      <x:c r="J58" s="60" t="str">
        <x:v>是</x:v>
      </x:c>
      <x:c r="K58" s="60" t="str">
        <x:v>是</x:v>
      </x:c>
      <x:c r="L58" s="60" t="str">
        <x:v>2026-08-09</x:v>
      </x:c>
      <x:c r="M58" s="60" t="str">
        <x:v>广东21个地级市覆盖层之一</x:v>
      </x:c>
    </x:row>
    <x:row r="59" ht="44" customHeight="1">
      <x:c r="A59" s="60" t="str">
        <x:v>GD-CITY-JIEYANG</x:v>
      </x:c>
      <x:c r="B59" s="60" t="str">
        <x:v>B</x:v>
      </x:c>
      <x:c r="C59" s="60" t="str">
        <x:v>揭阳市人社局通知公告</x:v>
      </x:c>
      <x:c r="D59" s="60" t="str">
        <x:v>揭阳市</x:v>
      </x:c>
      <x:c r="E59" s="60" t="str">
        <x:v>公务员/事业单位/编外</x:v>
      </x:c>
      <x:c r="F59" s="60" t="str">
        <x:v>http://www.jieyang.gov.cn/rsj/tzgg/</x:v>
      </x:c>
      <x:c r="G59" s="60" t="str">
        <x:v>是</x:v>
      </x:c>
      <x:c r="H59" s="60" t="str">
        <x:v>揭阳市招聘公告、考务和公示</x:v>
      </x:c>
      <x:c r="I59" s="60" t="str">
        <x:v>每日</x:v>
      </x:c>
      <x:c r="J59" s="60" t="str">
        <x:v>是</x:v>
      </x:c>
      <x:c r="K59" s="60" t="str">
        <x:v>是</x:v>
      </x:c>
      <x:c r="L59" s="60" t="str">
        <x:v>2026-08-09</x:v>
      </x:c>
      <x:c r="M59" s="60" t="str">
        <x:v>官方 HTTPS 当前连接异常，监控暂用官方 HTTP 入口</x:v>
      </x:c>
    </x:row>
    <x:row r="60" ht="44" customHeight="1">
      <x:c r="A60" s="60" t="str">
        <x:v>GD-CITY-YUNFU</x:v>
      </x:c>
      <x:c r="B60" s="60" t="str">
        <x:v>B</x:v>
      </x:c>
      <x:c r="C60" s="60" t="str">
        <x:v>云浮市人社局通知公告</x:v>
      </x:c>
      <x:c r="D60" s="60" t="str">
        <x:v>云浮市</x:v>
      </x:c>
      <x:c r="E60" s="60" t="str">
        <x:v>公务员/事业单位/编外</x:v>
      </x:c>
      <x:c r="F60" s="60" t="str">
        <x:v>https://www.yunfu.gov.cn/rsj/zx/tzgg/index.html</x:v>
      </x:c>
      <x:c r="G60" s="60" t="str">
        <x:v>是</x:v>
      </x:c>
      <x:c r="H60" s="60" t="str">
        <x:v>云浮市招聘公告、考务和公示</x:v>
      </x:c>
      <x:c r="I60" s="60" t="str">
        <x:v>每日</x:v>
      </x:c>
      <x:c r="J60" s="60" t="str">
        <x:v>是</x:v>
      </x:c>
      <x:c r="K60" s="60" t="str">
        <x:v>是</x:v>
      </x:c>
      <x:c r="L60" s="60" t="str">
        <x:v>2026-08-09</x:v>
      </x:c>
      <x:c r="M60" s="60" t="str">
        <x:v>广东21个地级市覆盖层之一</x:v>
      </x:c>
    </x:row>
  </x:sheetData>
  <x:mergeCells>
    <x:mergeCell ref="A1:M1"/>
    <x:mergeCell ref="A2:M2"/>
  </x:mergeCells>
  <x:conditionalFormatting sqref="B6:B60">
    <x:cfRule type="containsText" dxfId="4" priority="1" operator="containsText" text="A"/>
    <x:cfRule type="containsText" dxfId="5" priority="2" operator="containsText" text="B"/>
  </x:conditionalFormatting>
  <x:pageMargins left="0.7" right="0.7" top="0.75" bottom="0.75" header="0.3" footer="0.3"/>
  <x:tableParts count="1">
    <x:tablePart xmlns:r="http://schemas.openxmlformats.org/officeDocument/2006/relationships" r:id="Rdb7c9c5015584f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29" hidden="0" customWidth="1"/>
    <x:col min="4" max="4" width="18" hidden="0" customWidth="1"/>
    <x:col min="5" max="5" width="20" hidden="0" customWidth="1"/>
    <x:col min="6" max="6" width="22" hidden="0" customWidth="1"/>
    <x:col min="7" max="7" width="27" hidden="0" customWidth="1"/>
    <x:col min="8" max="8" width="39" hidden="0" customWidth="1"/>
  </x:cols>
  <x:sheetData>
    <x:row r="1" ht="34" customHeight="1">
      <x:c r="A1" s="3" t="str">
        <x:v>材料清单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这是准备框架，不是每个岗位的固定清单。实际提交内容必须回到具体公告和资格复审目录。</x:v>
      </x:c>
      <x:c r="B2" s="7"/>
      <x:c r="C2" s="7"/>
      <x:c r="D2" s="7"/>
      <x:c r="E2" s="7"/>
      <x:c r="F2" s="7"/>
      <x:c r="G2" s="7"/>
      <x:c r="H2" s="7"/>
    </x:row>
    <x:row r="5" ht="32" customHeight="1">
      <x:c r="A5" s="74" t="str">
        <x:v>材料类别</x:v>
      </x:c>
      <x:c r="B5" s="75" t="str">
        <x:v>材料名称</x:v>
      </x:c>
      <x:c r="C5" s="75" t="str">
        <x:v>适用情形</x:v>
      </x:c>
      <x:c r="D5" s="75" t="str">
        <x:v>是否具备</x:v>
      </x:c>
      <x:c r="E5" s="75" t="str">
        <x:v>有效期/更新时间</x:v>
      </x:c>
      <x:c r="F5" s="75" t="str">
        <x:v>建议保存位置</x:v>
      </x:c>
      <x:c r="G5" s="75" t="str">
        <x:v>官方依据</x:v>
      </x:c>
      <x:c r="H5" s="76" t="str">
        <x:v>备注</x:v>
      </x:c>
    </x:row>
    <x:row r="6" ht="42" customHeight="1">
      <x:c r="A6" s="59" t="str">
        <x:v>通用</x:v>
      </x:c>
      <x:c r="B6" s="59" t="str">
        <x:v>有效身份证件</x:v>
      </x:c>
      <x:c r="C6" s="59" t="str">
        <x:v>全部</x:v>
      </x:c>
      <x:c r="D6" s="59" t="str">
        <x:v>待填写</x:v>
      </x:c>
      <x:c r="E6" s="59" t="str">
        <x:v>检查有效期</x:v>
      </x:c>
      <x:c r="F6" s="59" t="str">
        <x:v>私有加密目录</x:v>
      </x:c>
      <x:c r="G6" s="59" t="str">
        <x:v>具体公告</x:v>
      </x:c>
      <x:c r="H6" s="59" t="str">
        <x:v>公开仓库不存号码或扫描件</x:v>
      </x:c>
    </x:row>
    <x:row r="7" ht="42" customHeight="1">
      <x:c r="A7" s="60" t="str">
        <x:v>通用</x:v>
      </x:c>
      <x:c r="B7" s="60" t="str">
        <x:v>近期证件照</x:v>
      </x:c>
      <x:c r="C7" s="60" t="str">
        <x:v>网上报名</x:v>
      </x:c>
      <x:c r="D7" s="60" t="str">
        <x:v>待填写</x:v>
      </x:c>
      <x:c r="E7" s="60" t="str">
        <x:v>按像素/大小要求重做</x:v>
      </x:c>
      <x:c r="F7" s="60" t="str">
        <x:v>私有加密目录</x:v>
      </x:c>
      <x:c r="G7" s="60" t="str">
        <x:v>报名系统说明</x:v>
      </x:c>
      <x:c r="H7" s="60" t="str">
        <x:v>不同系统规格可能不同</x:v>
      </x:c>
    </x:row>
    <x:row r="8" ht="42" customHeight="1">
      <x:c r="A8" s="60" t="str">
        <x:v>通用</x:v>
      </x:c>
      <x:c r="B8" s="60" t="str">
        <x:v>报名登记表</x:v>
      </x:c>
      <x:c r="C8" s="60" t="str">
        <x:v>报名或资格复审</x:v>
      </x:c>
      <x:c r="D8" s="60" t="str">
        <x:v>按项目生成</x:v>
      </x:c>
      <x:c r="E8" s="60" t="str">
        <x:v>每个项目独立</x:v>
      </x:c>
      <x:c r="F8" s="60" t="str">
        <x:v>私有项目目录</x:v>
      </x:c>
      <x:c r="G8" s="60" t="str">
        <x:v>报名系统</x:v>
      </x:c>
      <x:c r="H8" s="60" t="str">
        <x:v>提交前核对学习和工作经历</x:v>
      </x:c>
    </x:row>
    <x:row r="9" ht="42" customHeight="1">
      <x:c r="A9" s="60" t="str">
        <x:v>通用</x:v>
      </x:c>
      <x:c r="B9" s="60" t="str">
        <x:v>准考证</x:v>
      </x:c>
      <x:c r="C9" s="60" t="str">
        <x:v>考试及后续环节</x:v>
      </x:c>
      <x:c r="D9" s="60" t="str">
        <x:v>按项目生成</x:v>
      </x:c>
      <x:c r="E9" s="60" t="str">
        <x:v>全流程保存</x:v>
      </x:c>
      <x:c r="F9" s="60" t="str">
        <x:v>私有项目目录</x:v>
      </x:c>
      <x:c r="G9" s="60" t="str">
        <x:v>具体公告</x:v>
      </x:c>
      <x:c r="H9" s="60" t="str">
        <x:v>纸质与电子版均留存</x:v>
      </x:c>
    </x:row>
    <x:row r="10" ht="42" customHeight="1">
      <x:c r="A10" s="60" t="str">
        <x:v>学历</x:v>
      </x:c>
      <x:c r="B10" s="60" t="str">
        <x:v>毕业证、学位证</x:v>
      </x:c>
      <x:c r="C10" s="60" t="str">
        <x:v>已毕业人员</x:v>
      </x:c>
      <x:c r="D10" s="60" t="str">
        <x:v>待填写</x:v>
      </x:c>
      <x:c r="E10" s="60" t="str">
        <x:v>长期</x:v>
      </x:c>
      <x:c r="F10" s="60" t="str">
        <x:v>私有加密目录</x:v>
      </x:c>
      <x:c r="G10" s="60" t="str">
        <x:v>具体公告</x:v>
      </x:c>
      <x:c r="H10" s="60" t="str">
        <x:v>专业以证书为准</x:v>
      </x:c>
    </x:row>
    <x:row r="11" ht="42" customHeight="1">
      <x:c r="A11" s="60" t="str">
        <x:v>学历</x:v>
      </x:c>
      <x:c r="B11" s="60" t="str">
        <x:v>学信网学历/学籍材料</x:v>
      </x:c>
      <x:c r="C11" s="60" t="str">
        <x:v>资格复审按需</x:v>
      </x:c>
      <x:c r="D11" s="60" t="str">
        <x:v>待填写</x:v>
      </x:c>
      <x:c r="E11" s="60" t="str">
        <x:v>按公告时效</x:v>
      </x:c>
      <x:c r="F11" s="60" t="str">
        <x:v>私有加密目录</x:v>
      </x:c>
      <x:c r="G11" s="60" t="str">
        <x:v>具体公告</x:v>
      </x:c>
      <x:c r="H11" s="60" t="str">
        <x:v>下载最新有效版本</x:v>
      </x:c>
    </x:row>
    <x:row r="12" ht="42" customHeight="1">
      <x:c r="A12" s="60" t="str">
        <x:v>应届</x:v>
      </x:c>
      <x:c r="B12" s="60" t="str">
        <x:v>学生证、就业推荐表、成绩单</x:v>
      </x:c>
      <x:c r="C12" s="60" t="str">
        <x:v>尚未取得毕业证的毕业生</x:v>
      </x:c>
      <x:c r="D12" s="60" t="str">
        <x:v>待填写</x:v>
      </x:c>
      <x:c r="E12" s="60" t="str">
        <x:v>毕业前</x:v>
      </x:c>
      <x:c r="F12" s="60" t="str">
        <x:v>私有加密目录</x:v>
      </x:c>
      <x:c r="G12" s="60" t="str">
        <x:v>具体公告</x:v>
      </x:c>
      <x:c r="H12" s="60" t="str">
        <x:v>学校盖章要求逐项核对</x:v>
      </x:c>
    </x:row>
    <x:row r="13" ht="42" customHeight="1">
      <x:c r="A13" s="60" t="str">
        <x:v>留学</x:v>
      </x:c>
      <x:c r="B13" s="60" t="str">
        <x:v>国境外学历学位认证</x:v>
      </x:c>
      <x:c r="C13" s="60" t="str">
        <x:v>境外学历人员</x:v>
      </x:c>
      <x:c r="D13" s="60" t="str">
        <x:v>不适用/待填写</x:v>
      </x:c>
      <x:c r="E13" s="60" t="str">
        <x:v>按公告</x:v>
      </x:c>
      <x:c r="F13" s="60" t="str">
        <x:v>私有加密目录</x:v>
      </x:c>
      <x:c r="G13" s="60" t="str">
        <x:v>教育部留学服务中心</x:v>
      </x:c>
      <x:c r="H13" s="60" t="str">
        <x:v>认证完成时间须符合公告</x:v>
      </x:c>
    </x:row>
    <x:row r="14" ht="42" customHeight="1">
      <x:c r="A14" s="60" t="str">
        <x:v>经历</x:v>
      </x:c>
      <x:c r="B14" s="60" t="str">
        <x:v>工作经历证明</x:v>
      </x:c>
      <x:c r="C14" s="60" t="str">
        <x:v>岗位要求经历</x:v>
      </x:c>
      <x:c r="D14" s="60" t="str">
        <x:v>待填写</x:v>
      </x:c>
      <x:c r="E14" s="60" t="str">
        <x:v>按截止日计算</x:v>
      </x:c>
      <x:c r="F14" s="60" t="str">
        <x:v>私有加密目录</x:v>
      </x:c>
      <x:c r="G14" s="60" t="str">
        <x:v>岗位表</x:v>
      </x:c>
      <x:c r="H14" s="60" t="str">
        <x:v>单位证明、合同、社保可能需组合</x:v>
      </x:c>
    </x:row>
    <x:row r="15" ht="42" customHeight="1">
      <x:c r="A15" s="60" t="str">
        <x:v>经历</x:v>
      </x:c>
      <x:c r="B15" s="60" t="str">
        <x:v>劳动合同与社保记录</x:v>
      </x:c>
      <x:c r="C15" s="60" t="str">
        <x:v>经历或应届身份核验</x:v>
      </x:c>
      <x:c r="D15" s="60" t="str">
        <x:v>待填写</x:v>
      </x:c>
      <x:c r="E15" s="60" t="str">
        <x:v>下载最新</x:v>
      </x:c>
      <x:c r="F15" s="60" t="str">
        <x:v>私有加密目录</x:v>
      </x:c>
      <x:c r="G15" s="60" t="str">
        <x:v>资格复审清单</x:v>
      </x:c>
      <x:c r="H15" s="60" t="str">
        <x:v>实习通常不计工作经历</x:v>
      </x:c>
    </x:row>
    <x:row r="16" ht="42" customHeight="1">
      <x:c r="A16" s="60" t="str">
        <x:v>户籍</x:v>
      </x:c>
      <x:c r="B16" s="60" t="str">
        <x:v>户口簿/居住证明</x:v>
      </x:c>
      <x:c r="C16" s="60" t="str">
        <x:v>岗位有限制时</x:v>
      </x:c>
      <x:c r="D16" s="60" t="str">
        <x:v>待填写</x:v>
      </x:c>
      <x:c r="E16" s="60" t="str">
        <x:v>检查有效期</x:v>
      </x:c>
      <x:c r="F16" s="60" t="str">
        <x:v>私有加密目录</x:v>
      </x:c>
      <x:c r="G16" s="60" t="str">
        <x:v>岗位表</x:v>
      </x:c>
      <x:c r="H16" s="60" t="str">
        <x:v>不要在公开仓库保存</x:v>
      </x:c>
    </x:row>
    <x:row r="17" ht="42" customHeight="1">
      <x:c r="A17" s="60" t="str">
        <x:v>政治</x:v>
      </x:c>
      <x:c r="B17" s="60" t="str">
        <x:v>党员证明</x:v>
      </x:c>
      <x:c r="C17" s="60" t="str">
        <x:v>岗位要求中共党员</x:v>
      </x:c>
      <x:c r="D17" s="60" t="str">
        <x:v>不适用/待填写</x:v>
      </x:c>
      <x:c r="E17" s="60" t="str">
        <x:v>按公告</x:v>
      </x:c>
      <x:c r="F17" s="60" t="str">
        <x:v>私有加密目录</x:v>
      </x:c>
      <x:c r="G17" s="60" t="str">
        <x:v>岗位表</x:v>
      </x:c>
      <x:c r="H17" s="60" t="str">
        <x:v>明确含不含预备党员</x:v>
      </x:c>
    </x:row>
    <x:row r="18" ht="42" customHeight="1">
      <x:c r="A18" s="60" t="str">
        <x:v>资格</x:v>
      </x:c>
      <x:c r="B18" s="60" t="str">
        <x:v>职业资格/执业证/职称证</x:v>
      </x:c>
      <x:c r="C18" s="60" t="str">
        <x:v>专业岗位</x:v>
      </x:c>
      <x:c r="D18" s="60" t="str">
        <x:v>待填写</x:v>
      </x:c>
      <x:c r="E18" s="60" t="str">
        <x:v>检查注册与有效期</x:v>
      </x:c>
      <x:c r="F18" s="60" t="str">
        <x:v>私有加密目录</x:v>
      </x:c>
      <x:c r="G18" s="60" t="str">
        <x:v>岗位表</x:v>
      </x:c>
      <x:c r="H18" s="60" t="str">
        <x:v>医疗、教师等重点核验</x:v>
      </x:c>
    </x:row>
    <x:row r="19" ht="42" customHeight="1">
      <x:c r="A19" s="60" t="str">
        <x:v>基层</x:v>
      </x:c>
      <x:c r="B19" s="60" t="str">
        <x:v>服务基层项目证明</x:v>
      </x:c>
      <x:c r="C19" s="60" t="str">
        <x:v>定向岗位</x:v>
      </x:c>
      <x:c r="D19" s="60" t="str">
        <x:v>不适用/待填写</x:v>
      </x:c>
      <x:c r="E19" s="60" t="str">
        <x:v>按截止日</x:v>
      </x:c>
      <x:c r="F19" s="60" t="str">
        <x:v>私有加密目录</x:v>
      </x:c>
      <x:c r="G19" s="60" t="str">
        <x:v>岗位表</x:v>
      </x:c>
      <x:c r="H19" s="60" t="str">
        <x:v>服务期与考核结果</x:v>
      </x:c>
    </x:row>
    <x:row r="20" ht="42" customHeight="1">
      <x:c r="A20" s="60" t="str">
        <x:v>退役</x:v>
      </x:c>
      <x:c r="B20" s="60" t="str">
        <x:v>退出现役相关证件</x:v>
      </x:c>
      <x:c r="C20" s="60" t="str">
        <x:v>退役军人岗位</x:v>
      </x:c>
      <x:c r="D20" s="60" t="str">
        <x:v>不适用/待填写</x:v>
      </x:c>
      <x:c r="E20" s="60" t="str">
        <x:v>按公告</x:v>
      </x:c>
      <x:c r="F20" s="60" t="str">
        <x:v>私有加密目录</x:v>
      </x:c>
      <x:c r="G20" s="60" t="str">
        <x:v>岗位表</x:v>
      </x:c>
      <x:c r="H20" s="60" t="str">
        <x:v>注意取得时间截止点</x:v>
      </x:c>
    </x:row>
    <x:row r="21" ht="42" customHeight="1">
      <x:c r="A21" s="60" t="str">
        <x:v>在职</x:v>
      </x:c>
      <x:c r="B21" s="60" t="str">
        <x:v>单位同意报考证明</x:v>
      </x:c>
      <x:c r="C21" s="60" t="str">
        <x:v>在职在编人员按需</x:v>
      </x:c>
      <x:c r="D21" s="60" t="str">
        <x:v>不适用/待填写</x:v>
      </x:c>
      <x:c r="E21" s="60" t="str">
        <x:v>考察或复审前</x:v>
      </x:c>
      <x:c r="F21" s="60" t="str">
        <x:v>私有加密目录</x:v>
      </x:c>
      <x:c r="G21" s="60" t="str">
        <x:v>具体公告</x:v>
      </x:c>
      <x:c r="H21" s="60" t="str">
        <x:v>不同公告提交节点不同</x:v>
      </x:c>
    </x:row>
    <x:row r="22" ht="42" customHeight="1">
      <x:c r="A22" s="60" t="str">
        <x:v>诚信</x:v>
      </x:c>
      <x:c r="B22" s="60" t="str">
        <x:v>承诺书/无违规声明</x:v>
      </x:c>
      <x:c r="C22" s="60" t="str">
        <x:v>公告要求时</x:v>
      </x:c>
      <x:c r="D22" s="60" t="str">
        <x:v>按项目生成</x:v>
      </x:c>
      <x:c r="E22" s="60" t="str">
        <x:v>每个项目独立</x:v>
      </x:c>
      <x:c r="F22" s="60" t="str">
        <x:v>私有项目目录</x:v>
      </x:c>
      <x:c r="G22" s="60" t="str">
        <x:v>附件</x:v>
      </x:c>
      <x:c r="H22" s="60" t="str">
        <x:v>使用官方模板</x:v>
      </x:c>
    </x:row>
    <x:row r="23" ht="42" customHeight="1">
      <x:c r="A23" s="60" t="str">
        <x:v>其他</x:v>
      </x:c>
      <x:c r="B23" s="60" t="str">
        <x:v>岗位特别证明</x:v>
      </x:c>
      <x:c r="C23" s="60" t="str">
        <x:v>资格证、成果、论文、研究方向等</x:v>
      </x:c>
      <x:c r="D23" s="60" t="str">
        <x:v>待填写</x:v>
      </x:c>
      <x:c r="E23" s="60" t="str">
        <x:v>按岗位</x:v>
      </x:c>
      <x:c r="F23" s="60" t="str">
        <x:v>私有加密目录</x:v>
      </x:c>
      <x:c r="G23" s="60" t="str">
        <x:v>岗位表及附件</x:v>
      </x:c>
      <x:c r="H23" s="60" t="str">
        <x:v>逐项建立文件名与页码索引</x:v>
      </x:c>
    </x:row>
  </x:sheetData>
  <x:mergeCells>
    <x:mergeCell ref="A1:H1"/>
    <x:mergeCell ref="A2:H2"/>
  </x:mergeCells>
  <x:conditionalFormatting sqref="D6:D205">
    <x:cfRule type="containsText" dxfId="6" priority="1" operator="containsText" text="待补办"/>
  </x:conditionalFormatting>
  <x:dataValidations count="1">
    <x:dataValidation type="list" sqref="D6:D205">
      <x:formula1>"已具备,待填写,待补办,按项目生成,不适用/待填写,不适用"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ede331897c4d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6" hidden="0" customWidth="1"/>
    <x:col min="4" max="4" width="26" hidden="0" customWidth="1"/>
    <x:col min="5" max="5" width="45" hidden="0" customWidth="1"/>
  </x:cols>
  <x:sheetData>
    <x:row r="1" ht="34" customHeight="1">
      <x:c r="A1" s="3" t="str">
        <x:v>个人条件（仅私有副本填写）</x:v>
      </x:c>
      <x:c r="B1" s="3"/>
      <x:c r="C1" s="3"/>
      <x:c r="D1" s="3"/>
      <x:c r="E1" s="3"/>
    </x:row>
    <x:row r="2" ht="30" customHeight="1">
      <x:c r="A2" s="7" t="str">
        <x:v>不要把已填写的此页提交到公开 GitHub。敏感证件号码与材料扫描件不应进入本工作簿。</x:v>
      </x:c>
      <x:c r="B2" s="7"/>
      <x:c r="C2" s="7"/>
      <x:c r="D2" s="7"/>
      <x:c r="E2" s="7"/>
    </x:row>
    <x:row r="4">
      <x:c r="A4" s="62" t="str">
        <x:v>黄色单元格为候选人输入；右侧说明用于之后做人岗筛选。</x:v>
      </x:c>
      <x:c r="B4" s="62"/>
      <x:c r="C4" s="62"/>
      <x:c r="D4" s="62"/>
      <x:c r="E4" s="62"/>
    </x:row>
    <x:row r="5" ht="32" customHeight="1">
      <x:c r="A5" s="74" t="str">
        <x:v>条件类别</x:v>
      </x:c>
      <x:c r="B5" s="75" t="str">
        <x:v>字段</x:v>
      </x:c>
      <x:c r="C5" s="75" t="str">
        <x:v>候选人填写</x:v>
      </x:c>
      <x:c r="D5" s="75" t="str">
        <x:v>填写示例</x:v>
      </x:c>
      <x:c r="E5" s="76" t="str">
        <x:v>筛选说明</x:v>
      </x:c>
    </x:row>
    <x:row r="6" ht="34" customHeight="1">
      <x:c r="A6" s="59" t="str">
        <x:v>目标</x:v>
      </x:c>
      <x:c r="B6" s="59" t="str">
        <x:v>关注招聘性质</x:v>
      </x:c>
      <x:c r="C6" s="89" t="str"/>
      <x:c r="D6" s="59" t="str">
        <x:v>公务员、事业编</x:v>
      </x:c>
      <x:c r="E6" s="59" t="str">
        <x:v>可多选，国企与编制类分开判断</x:v>
      </x:c>
    </x:row>
    <x:row r="7" ht="34" customHeight="1">
      <x:c r="A7" s="60" t="str">
        <x:v>目标</x:v>
      </x:c>
      <x:c r="B7" s="60" t="str">
        <x:v>可接受地区</x:v>
      </x:c>
      <x:c r="C7" s="90" t="str"/>
      <x:c r="D7" s="60" t="str">
        <x:v>广州11区、佛山</x:v>
      </x:c>
      <x:c r="E7" s="60" t="str">
        <x:v>用于地区过滤</x:v>
      </x:c>
    </x:row>
    <x:row r="8" ht="34" customHeight="1">
      <x:c r="A8" s="60" t="str">
        <x:v>身份</x:v>
      </x:c>
      <x:c r="B8" s="60" t="str">
        <x:v>出生日期</x:v>
      </x:c>
      <x:c r="C8" s="90" t="str"/>
      <x:c r="D8" s="60" t="str">
        <x:v>2000-01-01</x:v>
      </x:c>
      <x:c r="E8" s="60" t="str">
        <x:v>由公告报名首日计算年龄；不要填身份证号</x:v>
      </x:c>
    </x:row>
    <x:row r="9" ht="34" customHeight="1">
      <x:c r="A9" s="60" t="str">
        <x:v>身份</x:v>
      </x:c>
      <x:c r="B9" s="60" t="str">
        <x:v>2026年毕业生</x:v>
      </x:c>
      <x:c r="C9" s="90" t="str"/>
      <x:c r="D9" s="60" t="str">
        <x:v>是/否</x:v>
      </x:c>
      <x:c r="E9" s="60" t="str">
        <x:v>以公告定义和取证时间判断</x:v>
      </x:c>
    </x:row>
    <x:row r="10" ht="34" customHeight="1">
      <x:c r="A10" s="60" t="str">
        <x:v>学历</x:v>
      </x:c>
      <x:c r="B10" s="60" t="str">
        <x:v>最高学历</x:v>
      </x:c>
      <x:c r="C10" s="90" t="str"/>
      <x:c r="D10" s="60" t="str">
        <x:v>硕士研究生</x:v>
      </x:c>
      <x:c r="E10" s="60" t="str">
        <x:v>必须与岗位要求层级核对</x:v>
      </x:c>
    </x:row>
    <x:row r="11" ht="34" customHeight="1">
      <x:c r="A11" s="60" t="str">
        <x:v>学历</x:v>
      </x:c>
      <x:c r="B11" s="60" t="str">
        <x:v>最高学位</x:v>
      </x:c>
      <x:c r="C11" s="90" t="str"/>
      <x:c r="D11" s="60" t="str">
        <x:v>硕士</x:v>
      </x:c>
      <x:c r="E11" s="60" t="str">
        <x:v>学位种类不等同于专业</x:v>
      </x:c>
    </x:row>
    <x:row r="12" ht="34" customHeight="1">
      <x:c r="A12" s="60" t="str">
        <x:v>学历</x:v>
      </x:c>
      <x:c r="B12" s="60" t="str">
        <x:v>毕业时间</x:v>
      </x:c>
      <x:c r="C12" s="90" t="str"/>
      <x:c r="D12" s="60" t="str">
        <x:v>2026-06-30</x:v>
      </x:c>
      <x:c r="E12" s="60" t="str">
        <x:v>核对取证截止日</x:v>
      </x:c>
    </x:row>
    <x:row r="13" ht="34" customHeight="1">
      <x:c r="A13" s="60" t="str">
        <x:v>学历</x:v>
      </x:c>
      <x:c r="B13" s="60" t="str">
        <x:v>学校</x:v>
      </x:c>
      <x:c r="C13" s="90" t="str"/>
      <x:c r="D13" s="60" t="str">
        <x:v>某大学</x:v>
      </x:c>
      <x:c r="E13" s="60" t="str">
        <x:v>部分选调生范围与学校有关</x:v>
      </x:c>
    </x:row>
    <x:row r="14" ht="34" customHeight="1">
      <x:c r="A14" s="60" t="str">
        <x:v>专业</x:v>
      </x:c>
      <x:c r="B14" s="60" t="str">
        <x:v>专业名称</x:v>
      </x:c>
      <x:c r="C14" s="90" t="str"/>
      <x:c r="D14" s="60" t="str">
        <x:v>计算机科学与技术</x:v>
      </x:c>
      <x:c r="E14" s="60" t="str">
        <x:v>以毕业证书为准</x:v>
      </x:c>
    </x:row>
    <x:row r="15" ht="34" customHeight="1">
      <x:c r="A15" s="60" t="str">
        <x:v>专业</x:v>
      </x:c>
      <x:c r="B15" s="60" t="str">
        <x:v>专业代码</x:v>
      </x:c>
      <x:c r="C15" s="90" t="str"/>
      <x:c r="D15" s="60" t="str">
        <x:v>B080901</x:v>
      </x:c>
      <x:c r="E15" s="60" t="str">
        <x:v>按当年广东专业参考目录</x:v>
      </x:c>
    </x:row>
    <x:row r="16" ht="34" customHeight="1">
      <x:c r="A16" s="60" t="str">
        <x:v>地区</x:v>
      </x:c>
      <x:c r="B16" s="60" t="str">
        <x:v>户籍</x:v>
      </x:c>
      <x:c r="C16" s="90" t="str"/>
      <x:c r="D16" s="60" t="str">
        <x:v>广州市</x:v>
      </x:c>
      <x:c r="E16" s="60" t="str">
        <x:v>非广州户籍另核对入户条件</x:v>
      </x:c>
    </x:row>
    <x:row r="17" ht="34" customHeight="1">
      <x:c r="A17" s="60" t="str">
        <x:v>政治</x:v>
      </x:c>
      <x:c r="B17" s="60" t="str">
        <x:v>政治面貌</x:v>
      </x:c>
      <x:c r="C17" s="90" t="str"/>
      <x:c r="D17" s="60" t="str">
        <x:v>中共党员</x:v>
      </x:c>
      <x:c r="E17" s="60" t="str">
        <x:v>核对公告是否含预备党员</x:v>
      </x:c>
    </x:row>
    <x:row r="18" ht="34" customHeight="1">
      <x:c r="A18" s="60" t="str">
        <x:v>经历</x:v>
      </x:c>
      <x:c r="B18" s="60" t="str">
        <x:v>基层工作经历</x:v>
      </x:c>
      <x:c r="C18" s="90" t="str"/>
      <x:c r="D18" s="60" t="str">
        <x:v>2年</x:v>
      </x:c>
      <x:c r="E18" s="60" t="str">
        <x:v>按公告截止点和认定口径</x:v>
      </x:c>
    </x:row>
    <x:row r="19" ht="34" customHeight="1">
      <x:c r="A19" s="60" t="str">
        <x:v>经历</x:v>
      </x:c>
      <x:c r="B19" s="60" t="str">
        <x:v>相关工作经历</x:v>
      </x:c>
      <x:c r="C19" s="90" t="str"/>
      <x:c r="D19" s="60" t="str">
        <x:v>数据分析2年</x:v>
      </x:c>
      <x:c r="E19" s="60" t="str">
        <x:v>劳动合同、社保、单位证明可能需组合</x:v>
      </x:c>
    </x:row>
    <x:row r="20" ht="34" customHeight="1">
      <x:c r="A20" s="60" t="str">
        <x:v>专项</x:v>
      </x:c>
      <x:c r="B20" s="60" t="str">
        <x:v>服务基层项目</x:v>
      </x:c>
      <x:c r="C20" s="90" t="str"/>
      <x:c r="D20" s="60" t="str">
        <x:v>无</x:v>
      </x:c>
      <x:c r="E20" s="60" t="str">
        <x:v>三支一扶等定向职位</x:v>
      </x:c>
    </x:row>
    <x:row r="21" ht="34" customHeight="1">
      <x:c r="A21" s="60" t="str">
        <x:v>专项</x:v>
      </x:c>
      <x:c r="B21" s="60" t="str">
        <x:v>退役身份</x:v>
      </x:c>
      <x:c r="C21" s="90" t="str"/>
      <x:c r="D21" s="60" t="str">
        <x:v>否</x:v>
      </x:c>
      <x:c r="E21" s="60" t="str">
        <x:v>定向职位及年龄放宽</x:v>
      </x:c>
    </x:row>
    <x:row r="22" ht="34" customHeight="1">
      <x:c r="A22" s="60" t="str">
        <x:v>资格</x:v>
      </x:c>
      <x:c r="B22" s="60" t="str">
        <x:v>职业资格/职称</x:v>
      </x:c>
      <x:c r="C22" s="90" t="str"/>
      <x:c r="D22" s="60" t="str">
        <x:v>教师资格证</x:v>
      </x:c>
      <x:c r="E22" s="60" t="str">
        <x:v>核对类别、学科、注册和有效期</x:v>
      </x:c>
    </x:row>
    <x:row r="23" ht="34" customHeight="1">
      <x:c r="A23" s="60" t="str">
        <x:v>限制</x:v>
      </x:c>
      <x:c r="B23" s="60" t="str">
        <x:v>在职在编</x:v>
      </x:c>
      <x:c r="C23" s="91" t="str"/>
      <x:c r="D23" s="60" t="str">
        <x:v>否</x:v>
      </x:c>
      <x:c r="E23" s="60" t="str">
        <x:v>可能需单位同意报考</x:v>
      </x:c>
    </x:row>
  </x:sheetData>
  <x:mergeCells>
    <x:mergeCell ref="A1:E1"/>
    <x:mergeCell ref="A2:E2"/>
    <x:mergeCell ref="A4:E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48" hidden="0" customWidth="1"/>
  </x:cols>
  <x:sheetData>
    <x:row r="1" ht="34" customHeight="1">
      <x:c r="A1" s="3" t="str">
        <x:v>字段说明与状态字典</x:v>
      </x:c>
      <x:c r="B1" s="3"/>
      <x:c r="C1" s="3"/>
      <x:c r="D1" s="3"/>
    </x:row>
    <x:row r="2" ht="30" customHeight="1">
      <x:c r="A2" s="7" t="str">
        <x:v>统一口径可避免不同来源、不同年份和不同用工性质混淆。</x:v>
      </x:c>
      <x:c r="B2" s="7"/>
      <x:c r="C2" s="7"/>
      <x:c r="D2" s="7"/>
    </x:row>
    <x:row r="5" ht="32" customHeight="1">
      <x:c r="A5" s="74" t="str">
        <x:v>字段/状态</x:v>
      </x:c>
      <x:c r="B5" s="75" t="str">
        <x:v>允许值或格式</x:v>
      </x:c>
      <x:c r="C5" s="75" t="str">
        <x:v>定义</x:v>
      </x:c>
      <x:c r="D5" s="76" t="str">
        <x:v>常见错误</x:v>
      </x:c>
    </x:row>
    <x:row r="6" ht="42" customHeight="1">
      <x:c r="A6" s="59" t="str">
        <x:v>招聘性质</x:v>
      </x:c>
      <x:c r="B6" s="59" t="str">
        <x:v>公务员/选调生/参公/事业编/编外/国企/待核实</x:v>
      </x:c>
      <x:c r="C6" s="59" t="str">
        <x:v>以公告明确的人事制度为准</x:v>
      </x:c>
      <x:c r="D6" s="59" t="str">
        <x:v>把政府雇员或国企误标事业编</x:v>
      </x:c>
    </x:row>
    <x:row r="7" ht="42" customHeight="1">
      <x:c r="A7" s="60" t="str">
        <x:v>公告阶段</x:v>
      </x:c>
      <x:c r="B7" s="60" t="str">
        <x:v>首发至录聘公示</x:v>
      </x:c>
      <x:c r="C7" s="60" t="str">
        <x:v>记录当前公告在完整流程的位置</x:v>
      </x:c>
      <x:c r="D7" s="60" t="str">
        <x:v>只保存首发公告，漏掉更正与资格复审</x:v>
      </x:c>
    </x:row>
    <x:row r="8" ht="42" customHeight="1">
      <x:c r="A8" s="60" t="str">
        <x:v>核验状态</x:v>
      </x:c>
      <x:c r="B8" s="60" t="str">
        <x:v>已核验/待复核/有更正/已失效</x:v>
      </x:c>
      <x:c r="C8" s="60" t="str">
        <x:v>原文与附件都打开才可已核验</x:v>
      </x:c>
      <x:c r="D8" s="60" t="str">
        <x:v>看到标题就标已核验</x:v>
      </x:c>
    </x:row>
    <x:row r="9" ht="42" customHeight="1">
      <x:c r="A9" s="60" t="str">
        <x:v>公告日期</x:v>
      </x:c>
      <x:c r="B9" s="60" t="str">
        <x:v>yyyy-mm-dd</x:v>
      </x:c>
      <x:c r="C9" s="60" t="str">
        <x:v>官方页面发布日期</x:v>
      </x:c>
      <x:c r="D9" s="60" t="str">
        <x:v>把抓取日期当发布日期</x:v>
      </x:c>
    </x:row>
    <x:row r="10" ht="42" customHeight="1">
      <x:c r="A10" s="60" t="str">
        <x:v>报名时间</x:v>
      </x:c>
      <x:c r="B10" s="60" t="str">
        <x:v>yyyy-mm-dd hh:mm</x:v>
      </x:c>
      <x:c r="C10" s="60" t="str">
        <x:v>按北京时间记录明确时分</x:v>
      </x:c>
      <x:c r="D10" s="60" t="str">
        <x:v>自行把只有日期补成23:59</x:v>
      </x:c>
    </x:row>
    <x:row r="11" ht="42" customHeight="1">
      <x:c r="A11" s="60" t="str">
        <x:v>剩余天数</x:v>
      </x:c>
      <x:c r="B11" s="60" t="str">
        <x:v>公式</x:v>
      </x:c>
      <x:c r="C11" s="60" t="str">
        <x:v>报名截止减今天</x:v>
      </x:c>
      <x:c r="D11" s="60" t="str">
        <x:v>手填导致过期不更新</x:v>
      </x:c>
    </x:row>
    <x:row r="12" ht="42" customHeight="1">
      <x:c r="A12" s="60" t="str">
        <x:v>来源级别</x:v>
      </x:c>
      <x:c r="B12" s="60" t="str">
        <x:v>A/B/C/D</x:v>
      </x:c>
      <x:c r="C12" s="60" t="str">
        <x:v>A主管机关；B属地/行业官方；C补充；D第三方</x:v>
      </x:c>
      <x:c r="D12" s="60" t="str">
        <x:v>把报名技术平台当事实首发源</x:v>
      </x:c>
    </x:row>
    <x:row r="13" ht="42" customHeight="1">
      <x:c r="A13" s="60" t="str">
        <x:v>官方大纲</x:v>
      </x:c>
      <x:c r="B13" s="60" t="str">
        <x:v>URL+名称</x:v>
      </x:c>
      <x:c r="C13" s="60" t="str">
        <x:v>发布机关提供的考试范围</x:v>
      </x:c>
      <x:c r="D13" s="60" t="str">
        <x:v>把商业讲义称为官方资料</x:v>
      </x:c>
    </x:row>
    <x:row r="14" ht="42" customHeight="1">
      <x:c r="A14" s="60" t="str">
        <x:v>专业目录</x:v>
      </x:c>
      <x:c r="B14" s="60" t="str">
        <x:v>年度+专业代码</x:v>
      </x:c>
      <x:c r="C14" s="60" t="str">
        <x:v>用于专业资格判断</x:v>
      </x:c>
      <x:c r="D14" s="60" t="str">
        <x:v>用旧年度目录或用学位代替专业</x:v>
      </x:c>
    </x:row>
    <x:row r="15" ht="42" customHeight="1">
      <x:c r="A15" s="60" t="str">
        <x:v>招聘人数</x:v>
      </x:c>
      <x:c r="B15" s="60" t="str">
        <x:v>数值</x:v>
      </x:c>
      <x:c r="C15" s="60" t="str">
        <x:v>以职位表合计或岗位数值</x:v>
      </x:c>
      <x:c r="D15" s="60" t="str">
        <x:v>附件未打开就从转载摘要填数</x:v>
      </x:c>
    </x:row>
    <x:row r="16" ht="42" customHeight="1">
      <x:c r="A16" s="60" t="str">
        <x:v>预计/另行通知</x:v>
      </x:c>
      <x:c r="B16" s="60" t="str">
        <x:v>原文文本</x:v>
      </x:c>
      <x:c r="C16" s="60" t="str">
        <x:v>保持不确定性</x:v>
      </x:c>
      <x:c r="D16" s="60" t="str">
        <x:v>转换成确定日期</x:v>
      </x:c>
    </x:row>
    <x:row r="17" ht="42" customHeight="1">
      <x:c r="A17" s="60" t="str">
        <x:v>关联公告</x:v>
      </x:c>
      <x:c r="B17" s="60" t="str">
        <x:v>URL或记录ID</x:v>
      </x:c>
      <x:c r="C17" s="60" t="str">
        <x:v>更正、补充、暂停、恢复、补录和结果</x:v>
      </x:c>
      <x:c r="D17" s="60" t="str">
        <x:v>覆盖旧公告导致无法审计</x:v>
      </x:c>
    </x:row>
    <x:row r="18" ht="42" customHeight="1">
      <x:c r="A18" s="60" t="str">
        <x:v>最近核验</x:v>
      </x:c>
      <x:c r="B18" s="60" t="str">
        <x:v>yyyy-mm-dd hh:mm</x:v>
      </x:c>
      <x:c r="C18" s="60" t="str">
        <x:v>最后打开官方原文或成功检查来源时间</x:v>
      </x:c>
      <x:c r="D18" s="60" t="str">
        <x:v>只记首次发现时间</x:v>
      </x:c>
    </x:row>
    <x:row r="19" ht="42" customHeight="1">
      <x:c r="A19" s="60" t="str">
        <x:v>发现层</x:v>
      </x:c>
      <x:c r="B19" s="60" t="str">
        <x:v>data/notices.csv</x:v>
      </x:c>
      <x:c r="C19" s="60" t="str">
        <x:v>脚本发现的新链接</x:v>
      </x:c>
      <x:c r="D19" s="60" t="str">
        <x:v>未经附件核验直接当最终台账</x:v>
      </x:c>
    </x:row>
    <x:row r="20" ht="42" customHeight="1">
      <x:c r="A20" s="60" t="str">
        <x:v>最终台账</x:v>
      </x:c>
      <x:c r="B20" s="60" t="str">
        <x:v>本工作簿</x:v>
      </x:c>
      <x:c r="C20" s="60" t="str">
        <x:v>人工/代理完成原文与附件核验后的结构化信息</x:v>
      </x:c>
      <x:c r="D20" s="60" t="str">
        <x:v>缺少官方URL和核验时间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7645589cdb74f5e"/>
  </x:tableParts>
</x:worksheet>
</file>